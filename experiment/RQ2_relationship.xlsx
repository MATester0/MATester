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research\7-Agent-Empirical\RQ\"/>
    </mc:Choice>
  </mc:AlternateContent>
  <xr:revisionPtr revIDLastSave="0" documentId="13_ncr:1_{5CED6FF8-8340-43EC-9F39-35DB6AA914E7}" xr6:coauthVersionLast="47" xr6:coauthVersionMax="47" xr10:uidLastSave="{00000000-0000-0000-0000-000000000000}"/>
  <bookViews>
    <workbookView xWindow="-110" yWindow="-110" windowWidth="25820" windowHeight="15500" firstSheet="2" activeTab="5" xr2:uid="{00000000-000D-0000-FFFF-FFFF00000000}"/>
  </bookViews>
  <sheets>
    <sheet name="location &amp; symptom (sum)" sheetId="13" r:id="rId1"/>
    <sheet name="location &amp; root cause (sum)" sheetId="14" r:id="rId2"/>
    <sheet name="location &amp; sympton (survey)" sheetId="6" r:id="rId3"/>
    <sheet name="location &amp; root cause (survey)" sheetId="7" r:id="rId4"/>
    <sheet name="location &amp; sympton (github)" sheetId="9" r:id="rId5"/>
    <sheet name="location &amp; root cause (github)" sheetId="8" r:id="rId6"/>
    <sheet name="location &amp; sympton (conference)" sheetId="10" r:id="rId7"/>
    <sheet name="location &amp; root cause (confere)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" i="14" l="1"/>
  <c r="G3" i="14"/>
  <c r="H3" i="14"/>
  <c r="I3" i="14"/>
  <c r="J3" i="14"/>
  <c r="K3" i="14"/>
  <c r="L3" i="14"/>
  <c r="M3" i="14"/>
  <c r="N3" i="14"/>
  <c r="O3" i="14"/>
  <c r="P3" i="14"/>
  <c r="Q3" i="14"/>
  <c r="G4" i="14"/>
  <c r="H4" i="14"/>
  <c r="I4" i="14"/>
  <c r="J4" i="14"/>
  <c r="K4" i="14"/>
  <c r="L4" i="14"/>
  <c r="M4" i="14"/>
  <c r="R4" i="14" s="1"/>
  <c r="N4" i="14"/>
  <c r="O4" i="14"/>
  <c r="G5" i="14"/>
  <c r="H5" i="14"/>
  <c r="I5" i="14"/>
  <c r="J5" i="14"/>
  <c r="K5" i="14"/>
  <c r="L5" i="14"/>
  <c r="M5" i="14"/>
  <c r="N5" i="14"/>
  <c r="O5" i="14"/>
  <c r="P5" i="14"/>
  <c r="Q5" i="14"/>
  <c r="G6" i="14"/>
  <c r="H6" i="14"/>
  <c r="I6" i="14"/>
  <c r="J6" i="14"/>
  <c r="K6" i="14"/>
  <c r="L6" i="14"/>
  <c r="M6" i="14"/>
  <c r="N6" i="14"/>
  <c r="O6" i="14"/>
  <c r="P6" i="14"/>
  <c r="Q6" i="14"/>
  <c r="G7" i="14"/>
  <c r="H7" i="14"/>
  <c r="I7" i="14"/>
  <c r="J7" i="14"/>
  <c r="K7" i="14"/>
  <c r="L7" i="14"/>
  <c r="M7" i="14"/>
  <c r="N7" i="14"/>
  <c r="O7" i="14"/>
  <c r="P7" i="14"/>
  <c r="Q7" i="14"/>
  <c r="G8" i="14"/>
  <c r="H8" i="14"/>
  <c r="I8" i="14"/>
  <c r="J8" i="14"/>
  <c r="K8" i="14"/>
  <c r="L8" i="14"/>
  <c r="M8" i="14"/>
  <c r="N8" i="14"/>
  <c r="O8" i="14"/>
  <c r="P8" i="14"/>
  <c r="Q8" i="14"/>
  <c r="G9" i="14"/>
  <c r="H9" i="14"/>
  <c r="I9" i="14"/>
  <c r="J9" i="14"/>
  <c r="K9" i="14"/>
  <c r="L9" i="14"/>
  <c r="M9" i="14"/>
  <c r="N9" i="14"/>
  <c r="O9" i="14"/>
  <c r="P9" i="14"/>
  <c r="Q9" i="14"/>
  <c r="G10" i="14"/>
  <c r="H10" i="14"/>
  <c r="I10" i="14"/>
  <c r="J10" i="14"/>
  <c r="K10" i="14"/>
  <c r="L10" i="14"/>
  <c r="M10" i="14"/>
  <c r="N10" i="14"/>
  <c r="O10" i="14"/>
  <c r="P10" i="14"/>
  <c r="Q10" i="14"/>
  <c r="D4" i="14"/>
  <c r="E4" i="14"/>
  <c r="F4" i="14"/>
  <c r="D5" i="14"/>
  <c r="E5" i="14"/>
  <c r="F5" i="14"/>
  <c r="D6" i="14"/>
  <c r="E6" i="14"/>
  <c r="F6" i="14"/>
  <c r="D7" i="14"/>
  <c r="E7" i="14"/>
  <c r="F7" i="14"/>
  <c r="D8" i="14"/>
  <c r="E8" i="14"/>
  <c r="F8" i="14"/>
  <c r="D9" i="14"/>
  <c r="E9" i="14"/>
  <c r="F9" i="14"/>
  <c r="D10" i="14"/>
  <c r="E10" i="14"/>
  <c r="F10" i="14"/>
  <c r="C5" i="14"/>
  <c r="C6" i="14"/>
  <c r="C7" i="14"/>
  <c r="C8" i="14"/>
  <c r="C9" i="14"/>
  <c r="C10" i="14"/>
  <c r="D3" i="14"/>
  <c r="E3" i="14"/>
  <c r="F3" i="14"/>
  <c r="C3" i="14"/>
  <c r="B4" i="14"/>
  <c r="B5" i="14"/>
  <c r="B6" i="14"/>
  <c r="B7" i="14"/>
  <c r="B8" i="14"/>
  <c r="B9" i="14"/>
  <c r="B10" i="14"/>
  <c r="B3" i="14"/>
  <c r="Q8" i="13"/>
  <c r="P8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C7" i="13"/>
  <c r="D7" i="13"/>
  <c r="E7" i="13"/>
  <c r="F7" i="13"/>
  <c r="R7" i="13" s="1"/>
  <c r="G7" i="13"/>
  <c r="H7" i="13"/>
  <c r="I7" i="13"/>
  <c r="J7" i="13"/>
  <c r="K7" i="13"/>
  <c r="L7" i="13"/>
  <c r="M7" i="13"/>
  <c r="N7" i="13"/>
  <c r="O7" i="13"/>
  <c r="P7" i="13"/>
  <c r="Q7" i="13"/>
  <c r="C6" i="13"/>
  <c r="R6" i="13" s="1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C4" i="13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C3" i="13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B4" i="13"/>
  <c r="B5" i="13"/>
  <c r="R5" i="13" s="1"/>
  <c r="B6" i="13"/>
  <c r="B7" i="13"/>
  <c r="B8" i="13"/>
  <c r="B3" i="13"/>
  <c r="R10" i="12"/>
  <c r="R9" i="12"/>
  <c r="R8" i="12"/>
  <c r="R7" i="12"/>
  <c r="R6" i="12"/>
  <c r="R5" i="12"/>
  <c r="R4" i="12"/>
  <c r="R3" i="12"/>
  <c r="R8" i="10"/>
  <c r="R7" i="10"/>
  <c r="R6" i="10"/>
  <c r="R5" i="10"/>
  <c r="R4" i="10"/>
  <c r="R3" i="10"/>
  <c r="R4" i="8"/>
  <c r="R5" i="8"/>
  <c r="R6" i="8"/>
  <c r="R7" i="8"/>
  <c r="R8" i="8"/>
  <c r="R9" i="8"/>
  <c r="R10" i="8"/>
  <c r="R3" i="8"/>
  <c r="R4" i="9"/>
  <c r="R5" i="9"/>
  <c r="R6" i="9"/>
  <c r="R7" i="9"/>
  <c r="R8" i="9"/>
  <c r="R3" i="9"/>
  <c r="R4" i="7"/>
  <c r="R5" i="7"/>
  <c r="R6" i="7"/>
  <c r="R7" i="7"/>
  <c r="R8" i="7"/>
  <c r="R9" i="7"/>
  <c r="R10" i="7"/>
  <c r="R3" i="7"/>
  <c r="R4" i="6"/>
  <c r="R5" i="6"/>
  <c r="R6" i="6"/>
  <c r="R7" i="6"/>
  <c r="R8" i="6"/>
  <c r="R3" i="6"/>
  <c r="R6" i="14" l="1"/>
  <c r="R8" i="14"/>
  <c r="R7" i="14"/>
  <c r="R10" i="14"/>
  <c r="R9" i="14"/>
  <c r="R5" i="14"/>
  <c r="R3" i="14"/>
  <c r="R8" i="13"/>
  <c r="R4" i="13"/>
  <c r="R3" i="13"/>
</calcChain>
</file>

<file path=xl/sharedStrings.xml><?xml version="1.0" encoding="utf-8"?>
<sst xmlns="http://schemas.openxmlformats.org/spreadsheetml/2006/main" count="224" uniqueCount="36">
  <si>
    <t>Perception</t>
    <phoneticPr fontId="1" type="noConversion"/>
  </si>
  <si>
    <t>Planner</t>
    <phoneticPr fontId="1" type="noConversion"/>
  </si>
  <si>
    <t>Executor</t>
    <phoneticPr fontId="1" type="noConversion"/>
  </si>
  <si>
    <t>snapshot &amp; environment
inconsistent</t>
    <phoneticPr fontId="1" type="noConversion"/>
  </si>
  <si>
    <t>snapshot &amp; environment
unstable</t>
    <phoneticPr fontId="1" type="noConversion"/>
  </si>
  <si>
    <t>plan
contradictory</t>
    <phoneticPr fontId="1" type="noConversion"/>
  </si>
  <si>
    <t>plan &amp; snapshot
unsatisfied</t>
    <phoneticPr fontId="1" type="noConversion"/>
  </si>
  <si>
    <t>plan &amp; task
irrelevant</t>
    <phoneticPr fontId="1" type="noConversion"/>
  </si>
  <si>
    <t>plan
wrong format</t>
    <phoneticPr fontId="1" type="noConversion"/>
  </si>
  <si>
    <t>snapshot
wrong format</t>
    <phoneticPr fontId="1" type="noConversion"/>
  </si>
  <si>
    <t>plan &amp; snapshot
unstable</t>
    <phoneticPr fontId="1" type="noConversion"/>
  </si>
  <si>
    <t>plan
missing</t>
    <phoneticPr fontId="1" type="noConversion"/>
  </si>
  <si>
    <t>action &amp; plan
inconsistent</t>
    <phoneticPr fontId="1" type="noConversion"/>
  </si>
  <si>
    <t>action &amp; environment
unapplicable</t>
    <phoneticPr fontId="1" type="noConversion"/>
  </si>
  <si>
    <t>reflection &amp; action
inconsistent</t>
    <phoneticPr fontId="1" type="noConversion"/>
  </si>
  <si>
    <t>action
missing</t>
    <phoneticPr fontId="1" type="noConversion"/>
  </si>
  <si>
    <t>type</t>
    <phoneticPr fontId="1" type="noConversion"/>
  </si>
  <si>
    <t>crash</t>
    <phoneticPr fontId="1" type="noConversion"/>
  </si>
  <si>
    <t>hang</t>
    <phoneticPr fontId="1" type="noConversion"/>
  </si>
  <si>
    <t>misbehave</t>
    <phoneticPr fontId="1" type="noConversion"/>
  </si>
  <si>
    <t>stop without completing</t>
    <phoneticPr fontId="1" type="noConversion"/>
  </si>
  <si>
    <t>behave inconsistently</t>
    <phoneticPr fontId="1" type="noConversion"/>
  </si>
  <si>
    <t>wrong user feedback</t>
    <phoneticPr fontId="1" type="noConversion"/>
  </si>
  <si>
    <t>atomicity break</t>
    <phoneticPr fontId="1" type="noConversion"/>
  </si>
  <si>
    <t>lack of corner case handling</t>
    <phoneticPr fontId="1" type="noConversion"/>
  </si>
  <si>
    <t>hallucination</t>
    <phoneticPr fontId="1" type="noConversion"/>
  </si>
  <si>
    <t>unsuitable llm parameters</t>
    <phoneticPr fontId="1" type="noConversion"/>
  </si>
  <si>
    <t>lack of error handling</t>
    <phoneticPr fontId="1" type="noConversion"/>
  </si>
  <si>
    <t>lack of memory storage</t>
  </si>
  <si>
    <t>variables not correctly updated</t>
    <phoneticPr fontId="1" type="noConversion"/>
  </si>
  <si>
    <t>other</t>
    <phoneticPr fontId="1" type="noConversion"/>
  </si>
  <si>
    <t>Total</t>
    <phoneticPr fontId="1" type="noConversion"/>
  </si>
  <si>
    <t>prompt
wrong</t>
    <phoneticPr fontId="1" type="noConversion"/>
  </si>
  <si>
    <t>prompt wrong</t>
    <phoneticPr fontId="1" type="noConversion"/>
  </si>
  <si>
    <t>snapshot missing</t>
    <phoneticPr fontId="1" type="noConversion"/>
  </si>
  <si>
    <t>snapshot label wrong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</si>
</sst>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3" xfId="0" applyFill="1" applyBorder="1"/>
    <xf numFmtId="0" fontId="0" fillId="0" borderId="2" xfId="0" applyBorder="1"/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0" xfId="0" applyFont="1" applyBorder="1"/>
    <xf numFmtId="0" fontId="2" fillId="0" borderId="1" xfId="0" applyFont="1" applyBorder="1"/>
    <xf numFmtId="0" fontId="3" fillId="0" borderId="6" xfId="0" applyFont="1" applyBorder="1" applyAlignment="1">
      <alignment horizontal="center" wrapText="1"/>
    </xf>
    <xf numFmtId="0" fontId="0" fillId="0" borderId="11" xfId="0" applyBorder="1"/>
    <xf numFmtId="0" fontId="3" fillId="0" borderId="1" xfId="0" applyFont="1" applyBorder="1"/>
    <xf numFmtId="0" fontId="2" fillId="0" borderId="8" xfId="0" applyFont="1" applyBorder="1"/>
    <xf numFmtId="0" fontId="3" fillId="0" borderId="0" xfId="0" applyFont="1" applyBorder="1"/>
    <xf numFmtId="0" fontId="2" fillId="0" borderId="9" xfId="0" applyFont="1" applyBorder="1"/>
    <xf numFmtId="0" fontId="2" fillId="0" borderId="10" xfId="0" applyFont="1" applyBorder="1"/>
    <xf numFmtId="0" fontId="0" fillId="0" borderId="0" xfId="0" applyFill="1" applyBorder="1"/>
    <xf numFmtId="0" fontId="0" fillId="0" borderId="12" xfId="0" applyBorder="1" applyAlignment="1">
      <alignment horizontal="center" wrapText="1"/>
    </xf>
    <xf numFmtId="0" fontId="0" fillId="0" borderId="4" xfId="0" applyBorder="1"/>
    <xf numFmtId="0" fontId="3" fillId="0" borderId="13" xfId="0" applyFont="1" applyBorder="1"/>
    <xf numFmtId="0" fontId="3" fillId="0" borderId="3" xfId="0" applyFont="1" applyBorder="1"/>
    <xf numFmtId="0" fontId="3" fillId="0" borderId="9" xfId="0" applyFont="1" applyBorder="1"/>
    <xf numFmtId="0" fontId="3" fillId="0" borderId="8" xfId="0" applyFont="1" applyBorder="1"/>
    <xf numFmtId="0" fontId="3" fillId="0" borderId="10" xfId="0" applyFont="1" applyBorder="1"/>
    <xf numFmtId="0" fontId="3" fillId="0" borderId="12" xfId="0" applyFont="1" applyBorder="1"/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188F-FE9A-48CA-81E0-850E207896C7}">
  <dimension ref="A1:R8"/>
  <sheetViews>
    <sheetView zoomScale="88" workbookViewId="0">
      <selection activeCell="Q5" sqref="Q5"/>
    </sheetView>
  </sheetViews>
  <sheetFormatPr defaultRowHeight="14" x14ac:dyDescent="0.3"/>
  <cols>
    <col min="2" max="2" width="20.9140625" customWidth="1"/>
    <col min="3" max="3" width="14" customWidth="1"/>
    <col min="4" max="4" width="14.5" customWidth="1"/>
    <col min="5" max="5" width="10.9140625" customWidth="1"/>
    <col min="6" max="6" width="14.08203125" customWidth="1"/>
    <col min="7" max="7" width="15.5" customWidth="1"/>
    <col min="8" max="8" width="15.9140625" customWidth="1"/>
    <col min="9" max="9" width="13.25" customWidth="1"/>
    <col min="10" max="10" width="11.6640625" customWidth="1"/>
    <col min="11" max="11" width="15.6640625" customWidth="1"/>
    <col min="13" max="13" width="11.08203125" customWidth="1"/>
  </cols>
  <sheetData>
    <row r="1" spans="1:18" x14ac:dyDescent="0.3">
      <c r="A1" s="31" t="s">
        <v>16</v>
      </c>
      <c r="B1" s="33" t="s">
        <v>0</v>
      </c>
      <c r="C1" s="34"/>
      <c r="D1" s="34"/>
      <c r="E1" s="34"/>
      <c r="F1" s="35"/>
      <c r="G1" s="33" t="s">
        <v>1</v>
      </c>
      <c r="H1" s="34"/>
      <c r="I1" s="34"/>
      <c r="J1" s="34"/>
      <c r="K1" s="34"/>
      <c r="L1" s="36"/>
      <c r="M1" s="35"/>
      <c r="N1" s="33" t="s">
        <v>2</v>
      </c>
      <c r="O1" s="34"/>
      <c r="P1" s="34"/>
      <c r="Q1" s="35"/>
      <c r="R1" s="37" t="s">
        <v>31</v>
      </c>
    </row>
    <row r="2" spans="1:18" ht="32" customHeight="1" x14ac:dyDescent="0.3">
      <c r="A2" s="32"/>
      <c r="B2" s="8" t="s">
        <v>3</v>
      </c>
      <c r="C2" s="6" t="s">
        <v>4</v>
      </c>
      <c r="D2" s="6" t="s">
        <v>9</v>
      </c>
      <c r="E2" s="6" t="s">
        <v>34</v>
      </c>
      <c r="F2" s="7" t="s">
        <v>35</v>
      </c>
      <c r="G2" s="8" t="s">
        <v>5</v>
      </c>
      <c r="H2" s="6" t="s">
        <v>6</v>
      </c>
      <c r="I2" s="6" t="s">
        <v>7</v>
      </c>
      <c r="J2" s="6" t="s">
        <v>8</v>
      </c>
      <c r="K2" s="6" t="s">
        <v>10</v>
      </c>
      <c r="L2" s="6" t="s">
        <v>11</v>
      </c>
      <c r="M2" s="7" t="s">
        <v>32</v>
      </c>
      <c r="N2" s="8" t="s">
        <v>12</v>
      </c>
      <c r="O2" s="15" t="s">
        <v>13</v>
      </c>
      <c r="P2" s="9" t="s">
        <v>14</v>
      </c>
      <c r="Q2" s="7" t="s">
        <v>15</v>
      </c>
      <c r="R2" s="32"/>
    </row>
    <row r="3" spans="1:18" x14ac:dyDescent="0.3">
      <c r="A3" s="24" t="s">
        <v>17</v>
      </c>
      <c r="B3" s="19">
        <f>SUM('location &amp; sympton (survey)'!B3,'location &amp; sympton (github)'!B3,'location &amp; sympton (conference)'!B3)</f>
        <v>3</v>
      </c>
      <c r="C3" s="19">
        <f>SUM('location &amp; sympton (survey)'!C3,'location &amp; sympton (github)'!C3,'location &amp; sympton (conference)'!C3)</f>
        <v>2</v>
      </c>
      <c r="D3" s="19">
        <f>SUM('location &amp; sympton (survey)'!D3,'location &amp; sympton (github)'!D3,'location &amp; sympton (conference)'!D3)</f>
        <v>7</v>
      </c>
      <c r="E3" s="19">
        <f>SUM('location &amp; sympton (survey)'!E3,'location &amp; sympton (github)'!E3,'location &amp; sympton (conference)'!E3)</f>
        <v>6</v>
      </c>
      <c r="F3" s="25">
        <f>SUM('location &amp; sympton (survey)'!F3,'location &amp; sympton (github)'!F3,'location &amp; sympton (conference)'!F3)</f>
        <v>4</v>
      </c>
      <c r="G3" s="19">
        <f>SUM('location &amp; sympton (survey)'!G3,'location &amp; sympton (github)'!G3,'location &amp; sympton (conference)'!G3)</f>
        <v>0</v>
      </c>
      <c r="H3" s="19">
        <f>SUM('location &amp; sympton (survey)'!H3,'location &amp; sympton (github)'!H3,'location &amp; sympton (conference)'!H3)</f>
        <v>6</v>
      </c>
      <c r="I3" s="19">
        <f>SUM('location &amp; sympton (survey)'!I3,'location &amp; sympton (github)'!I3,'location &amp; sympton (conference)'!I3)</f>
        <v>1</v>
      </c>
      <c r="J3" s="19">
        <f>SUM('location &amp; sympton (survey)'!J3,'location &amp; sympton (github)'!J3,'location &amp; sympton (conference)'!J3)</f>
        <v>12</v>
      </c>
      <c r="K3" s="19">
        <f>SUM('location &amp; sympton (survey)'!K3,'location &amp; sympton (github)'!K3,'location &amp; sympton (conference)'!K3)</f>
        <v>0</v>
      </c>
      <c r="L3" s="19">
        <f>SUM('location &amp; sympton (survey)'!L3,'location &amp; sympton (github)'!L3,'location &amp; sympton (conference)'!L3)</f>
        <v>13</v>
      </c>
      <c r="M3" s="25">
        <f>SUM('location &amp; sympton (survey)'!M3,'location &amp; sympton (github)'!M3,'location &amp; sympton (conference)'!M3)</f>
        <v>3</v>
      </c>
      <c r="N3" s="19">
        <f>SUM('location &amp; sympton (survey)'!N3,'location &amp; sympton (github)'!N3,'location &amp; sympton (conference)'!N3)</f>
        <v>1</v>
      </c>
      <c r="O3" s="19">
        <f>SUM('location &amp; sympton (survey)'!O3,'location &amp; sympton (github)'!O3,'location &amp; sympton (conference)'!O3)</f>
        <v>23</v>
      </c>
      <c r="P3" s="19">
        <f>SUM('location &amp; sympton (survey)'!P3,'location &amp; sympton (github)'!P3,'location &amp; sympton (conference)'!P3)</f>
        <v>1</v>
      </c>
      <c r="Q3" s="26">
        <f>SUM('location &amp; sympton (survey)'!Q3,'location &amp; sympton (github)'!Q3,'location &amp; sympton (conference)'!Q3)</f>
        <v>1</v>
      </c>
      <c r="R3" s="3">
        <f>SUM(B3:Q3)</f>
        <v>83</v>
      </c>
    </row>
    <row r="4" spans="1:18" x14ac:dyDescent="0.3">
      <c r="A4" s="5" t="s">
        <v>18</v>
      </c>
      <c r="B4" s="19">
        <f>SUM('location &amp; sympton (survey)'!B4,'location &amp; sympton (github)'!B4,'location &amp; sympton (conference)'!B4)</f>
        <v>0</v>
      </c>
      <c r="C4" s="19">
        <f>SUM('location &amp; sympton (survey)'!C4,'location &amp; sympton (github)'!C4,'location &amp; sympton (conference)'!C4)</f>
        <v>0</v>
      </c>
      <c r="D4" s="19">
        <f>SUM('location &amp; sympton (survey)'!D4,'location &amp; sympton (github)'!D4,'location &amp; sympton (conference)'!D4)</f>
        <v>0</v>
      </c>
      <c r="E4" s="19">
        <f>SUM('location &amp; sympton (survey)'!E4,'location &amp; sympton (github)'!E4,'location &amp; sympton (conference)'!E4)</f>
        <v>0</v>
      </c>
      <c r="F4" s="26">
        <f>SUM('location &amp; sympton (survey)'!F4,'location &amp; sympton (github)'!F4,'location &amp; sympton (conference)'!F4)</f>
        <v>0</v>
      </c>
      <c r="G4" s="19">
        <f>SUM('location &amp; sympton (survey)'!G4,'location &amp; sympton (github)'!G4,'location &amp; sympton (conference)'!G4)</f>
        <v>0</v>
      </c>
      <c r="H4" s="19">
        <f>SUM('location &amp; sympton (survey)'!H4,'location &amp; sympton (github)'!H4,'location &amp; sympton (conference)'!H4)</f>
        <v>1</v>
      </c>
      <c r="I4" s="19">
        <f>SUM('location &amp; sympton (survey)'!I4,'location &amp; sympton (github)'!I4,'location &amp; sympton (conference)'!I4)</f>
        <v>1</v>
      </c>
      <c r="J4" s="19">
        <f>SUM('location &amp; sympton (survey)'!J4,'location &amp; sympton (github)'!J4,'location &amp; sympton (conference)'!J4)</f>
        <v>0</v>
      </c>
      <c r="K4" s="19">
        <f>SUM('location &amp; sympton (survey)'!K4,'location &amp; sympton (github)'!K4,'location &amp; sympton (conference)'!K4)</f>
        <v>0</v>
      </c>
      <c r="L4" s="19">
        <f>SUM('location &amp; sympton (survey)'!L4,'location &amp; sympton (github)'!L4,'location &amp; sympton (conference)'!L4)</f>
        <v>0</v>
      </c>
      <c r="M4" s="26">
        <f>SUM('location &amp; sympton (survey)'!M4,'location &amp; sympton (github)'!M4,'location &amp; sympton (conference)'!M4)</f>
        <v>0</v>
      </c>
      <c r="N4" s="19">
        <f>SUM('location &amp; sympton (survey)'!N4,'location &amp; sympton (github)'!N4,'location &amp; sympton (conference)'!N4)</f>
        <v>0</v>
      </c>
      <c r="O4" s="19">
        <f>SUM('location &amp; sympton (survey)'!O4,'location &amp; sympton (github)'!O4,'location &amp; sympton (conference)'!O4)</f>
        <v>3</v>
      </c>
      <c r="P4" s="19">
        <f>SUM('location &amp; sympton (survey)'!P4,'location &amp; sympton (github)'!P4,'location &amp; sympton (conference)'!P4)</f>
        <v>0</v>
      </c>
      <c r="Q4" s="26">
        <f>SUM('location &amp; sympton (survey)'!Q4,'location &amp; sympton (github)'!Q4,'location &amp; sympton (conference)'!Q4)</f>
        <v>0</v>
      </c>
      <c r="R4" s="3">
        <f t="shared" ref="R4:R8" si="0">SUM(B4:Q4)</f>
        <v>5</v>
      </c>
    </row>
    <row r="5" spans="1:18" x14ac:dyDescent="0.3">
      <c r="A5" s="5" t="s">
        <v>19</v>
      </c>
      <c r="B5" s="19">
        <f>SUM('location &amp; sympton (survey)'!B5,'location &amp; sympton (github)'!B5,'location &amp; sympton (conference)'!B5)</f>
        <v>6</v>
      </c>
      <c r="C5" s="19">
        <v>0</v>
      </c>
      <c r="D5" s="19">
        <f>SUM('location &amp; sympton (survey)'!D5,'location &amp; sympton (github)'!D5,'location &amp; sympton (conference)'!D5)</f>
        <v>0</v>
      </c>
      <c r="E5" s="19">
        <f>SUM('location &amp; sympton (survey)'!E5,'location &amp; sympton (github)'!E5,'location &amp; sympton (conference)'!E5)</f>
        <v>0</v>
      </c>
      <c r="F5" s="26">
        <f>SUM('location &amp; sympton (survey)'!F5,'location &amp; sympton (github)'!F5,'location &amp; sympton (conference)'!F5)</f>
        <v>6</v>
      </c>
      <c r="G5" s="19">
        <f>SUM('location &amp; sympton (survey)'!G5,'location &amp; sympton (github)'!G5,'location &amp; sympton (conference)'!G5)</f>
        <v>2</v>
      </c>
      <c r="H5" s="19">
        <f>SUM('location &amp; sympton (survey)'!H5,'location &amp; sympton (github)'!H5,'location &amp; sympton (conference)'!H5)</f>
        <v>7</v>
      </c>
      <c r="I5" s="19">
        <f>SUM('location &amp; sympton (survey)'!I5,'location &amp; sympton (github)'!I5,'location &amp; sympton (conference)'!I5)</f>
        <v>10</v>
      </c>
      <c r="J5" s="19">
        <f>SUM('location &amp; sympton (survey)'!J5,'location &amp; sympton (github)'!J5,'location &amp; sympton (conference)'!J5)</f>
        <v>3</v>
      </c>
      <c r="K5" s="19">
        <f>SUM('location &amp; sympton (survey)'!K5,'location &amp; sympton (github)'!K5,'location &amp; sympton (conference)'!K5)</f>
        <v>0</v>
      </c>
      <c r="L5" s="19">
        <f>SUM('location &amp; sympton (survey)'!L5,'location &amp; sympton (github)'!L5,'location &amp; sympton (conference)'!L5)</f>
        <v>1</v>
      </c>
      <c r="M5" s="26">
        <f>SUM('location &amp; sympton (survey)'!M5,'location &amp; sympton (github)'!M5,'location &amp; sympton (conference)'!M5)</f>
        <v>2</v>
      </c>
      <c r="N5" s="19">
        <f>SUM('location &amp; sympton (survey)'!N5,'location &amp; sympton (github)'!N5,'location &amp; sympton (conference)'!N5)</f>
        <v>3</v>
      </c>
      <c r="O5" s="19">
        <f>SUM('location &amp; sympton (survey)'!O5,'location &amp; sympton (github)'!O5,'location &amp; sympton (conference)'!O5)</f>
        <v>12</v>
      </c>
      <c r="P5" s="19">
        <f>SUM('location &amp; sympton (survey)'!P5,'location &amp; sympton (github)'!P5,'location &amp; sympton (conference)'!P5)</f>
        <v>2</v>
      </c>
      <c r="Q5" s="26">
        <v>4</v>
      </c>
      <c r="R5" s="3">
        <f t="shared" si="0"/>
        <v>58</v>
      </c>
    </row>
    <row r="6" spans="1:18" x14ac:dyDescent="0.3">
      <c r="A6" s="5" t="s">
        <v>20</v>
      </c>
      <c r="B6" s="19">
        <f>SUM('location &amp; sympton (survey)'!B6,'location &amp; sympton (github)'!B6,'location &amp; sympton (conference)'!B6)</f>
        <v>0</v>
      </c>
      <c r="C6" s="19">
        <f>SUM('location &amp; sympton (survey)'!C6,'location &amp; sympton (github)'!C6,'location &amp; sympton (conference)'!C6)</f>
        <v>0</v>
      </c>
      <c r="D6" s="19">
        <f>SUM('location &amp; sympton (survey)'!D6,'location &amp; sympton (github)'!D6,'location &amp; sympton (conference)'!D6)</f>
        <v>0</v>
      </c>
      <c r="E6" s="19">
        <f>SUM('location &amp; sympton (survey)'!E6,'location &amp; sympton (github)'!E6,'location &amp; sympton (conference)'!E6)</f>
        <v>0</v>
      </c>
      <c r="F6" s="26">
        <f>SUM('location &amp; sympton (survey)'!F6,'location &amp; sympton (github)'!F6,'location &amp; sympton (conference)'!F6)</f>
        <v>0</v>
      </c>
      <c r="G6" s="19">
        <f>SUM('location &amp; sympton (survey)'!G6,'location &amp; sympton (github)'!G6,'location &amp; sympton (conference)'!G6)</f>
        <v>0</v>
      </c>
      <c r="H6" s="19">
        <f>SUM('location &amp; sympton (survey)'!H6,'location &amp; sympton (github)'!H6,'location &amp; sympton (conference)'!H6)</f>
        <v>0</v>
      </c>
      <c r="I6" s="19">
        <f>SUM('location &amp; sympton (survey)'!I6,'location &amp; sympton (github)'!I6,'location &amp; sympton (conference)'!I6)</f>
        <v>2</v>
      </c>
      <c r="J6" s="19">
        <f>SUM('location &amp; sympton (survey)'!J6,'location &amp; sympton (github)'!J6,'location &amp; sympton (conference)'!J6)</f>
        <v>0</v>
      </c>
      <c r="K6" s="19">
        <f>SUM('location &amp; sympton (survey)'!K6,'location &amp; sympton (github)'!K6,'location &amp; sympton (conference)'!K6)</f>
        <v>0</v>
      </c>
      <c r="L6" s="19">
        <f>SUM('location &amp; sympton (survey)'!L6,'location &amp; sympton (github)'!L6,'location &amp; sympton (conference)'!L6)</f>
        <v>1</v>
      </c>
      <c r="M6" s="26">
        <f>SUM('location &amp; sympton (survey)'!M6,'location &amp; sympton (github)'!M6,'location &amp; sympton (conference)'!M6)</f>
        <v>0</v>
      </c>
      <c r="N6" s="19">
        <f>SUM('location &amp; sympton (survey)'!N6,'location &amp; sympton (github)'!N6,'location &amp; sympton (conference)'!N6)</f>
        <v>0</v>
      </c>
      <c r="O6" s="19">
        <f>SUM('location &amp; sympton (survey)'!O6,'location &amp; sympton (github)'!O6,'location &amp; sympton (conference)'!O6)</f>
        <v>0</v>
      </c>
      <c r="P6" s="19">
        <f>SUM('location &amp; sympton (survey)'!P6,'location &amp; sympton (github)'!P6,'location &amp; sympton (conference)'!P6)</f>
        <v>0</v>
      </c>
      <c r="Q6" s="26">
        <f>SUM('location &amp; sympton (survey)'!Q6,'location &amp; sympton (github)'!Q6,'location &amp; sympton (conference)'!Q6)</f>
        <v>0</v>
      </c>
      <c r="R6" s="3">
        <f t="shared" si="0"/>
        <v>3</v>
      </c>
    </row>
    <row r="7" spans="1:18" x14ac:dyDescent="0.3">
      <c r="A7" s="5" t="s">
        <v>21</v>
      </c>
      <c r="B7" s="19">
        <f>SUM('location &amp; sympton (survey)'!B7,'location &amp; sympton (github)'!B7,'location &amp; sympton (conference)'!B7)</f>
        <v>0</v>
      </c>
      <c r="C7" s="19">
        <f>SUM('location &amp; sympton (survey)'!C7,'location &amp; sympton (github)'!C7,'location &amp; sympton (conference)'!C7)</f>
        <v>2</v>
      </c>
      <c r="D7" s="19">
        <f>SUM('location &amp; sympton (survey)'!D7,'location &amp; sympton (github)'!D7,'location &amp; sympton (conference)'!D7)</f>
        <v>0</v>
      </c>
      <c r="E7" s="19">
        <f>SUM('location &amp; sympton (survey)'!E7,'location &amp; sympton (github)'!E7,'location &amp; sympton (conference)'!E7)</f>
        <v>0</v>
      </c>
      <c r="F7" s="26">
        <f>SUM('location &amp; sympton (survey)'!F7,'location &amp; sympton (github)'!F7,'location &amp; sympton (conference)'!F7)</f>
        <v>0</v>
      </c>
      <c r="G7" s="19">
        <f>SUM('location &amp; sympton (survey)'!G7,'location &amp; sympton (github)'!G7,'location &amp; sympton (conference)'!G7)</f>
        <v>0</v>
      </c>
      <c r="H7" s="19">
        <f>SUM('location &amp; sympton (survey)'!H7,'location &amp; sympton (github)'!H7,'location &amp; sympton (conference)'!H7)</f>
        <v>0</v>
      </c>
      <c r="I7" s="19">
        <f>SUM('location &amp; sympton (survey)'!I7,'location &amp; sympton (github)'!I7,'location &amp; sympton (conference)'!I7)</f>
        <v>0</v>
      </c>
      <c r="J7" s="19">
        <f>SUM('location &amp; sympton (survey)'!J7,'location &amp; sympton (github)'!J7,'location &amp; sympton (conference)'!J7)</f>
        <v>0</v>
      </c>
      <c r="K7" s="19">
        <f>SUM('location &amp; sympton (survey)'!K7,'location &amp; sympton (github)'!K7,'location &amp; sympton (conference)'!K7)</f>
        <v>3</v>
      </c>
      <c r="L7" s="19">
        <f>SUM('location &amp; sympton (survey)'!L7,'location &amp; sympton (github)'!L7,'location &amp; sympton (conference)'!L7)</f>
        <v>0</v>
      </c>
      <c r="M7" s="26">
        <f>SUM('location &amp; sympton (survey)'!M7,'location &amp; sympton (github)'!M7,'location &amp; sympton (conference)'!M7)</f>
        <v>0</v>
      </c>
      <c r="N7" s="19">
        <f>SUM('location &amp; sympton (survey)'!N7,'location &amp; sympton (github)'!N7,'location &amp; sympton (conference)'!N7)</f>
        <v>0</v>
      </c>
      <c r="O7" s="19">
        <f>SUM('location &amp; sympton (survey)'!O7,'location &amp; sympton (github)'!O7,'location &amp; sympton (conference)'!O7)</f>
        <v>0</v>
      </c>
      <c r="P7" s="19">
        <f>SUM('location &amp; sympton (survey)'!P7,'location &amp; sympton (github)'!P7,'location &amp; sympton (conference)'!P7)</f>
        <v>0</v>
      </c>
      <c r="Q7" s="26">
        <f>SUM('location &amp; sympton (survey)'!Q7,'location &amp; sympton (github)'!Q7,'location &amp; sympton (conference)'!Q7)</f>
        <v>0</v>
      </c>
      <c r="R7" s="3">
        <f t="shared" si="0"/>
        <v>5</v>
      </c>
    </row>
    <row r="8" spans="1:18" x14ac:dyDescent="0.3">
      <c r="A8" s="16" t="s">
        <v>22</v>
      </c>
      <c r="B8" s="27">
        <f>SUM('location &amp; sympton (survey)'!B8,'location &amp; sympton (github)'!B8,'location &amp; sympton (conference)'!B8)</f>
        <v>0</v>
      </c>
      <c r="C8" s="28">
        <f>SUM('location &amp; sympton (survey)'!C8,'location &amp; sympton (github)'!C8,'location &amp; sympton (conference)'!C8)</f>
        <v>0</v>
      </c>
      <c r="D8" s="28">
        <f>SUM('location &amp; sympton (survey)'!D8,'location &amp; sympton (github)'!D8,'location &amp; sympton (conference)'!D8)</f>
        <v>1</v>
      </c>
      <c r="E8" s="28">
        <f>SUM('location &amp; sympton (survey)'!E8,'location &amp; sympton (github)'!E8,'location &amp; sympton (conference)'!E8)</f>
        <v>0</v>
      </c>
      <c r="F8" s="29">
        <f>SUM('location &amp; sympton (survey)'!F8,'location &amp; sympton (github)'!F8,'location &amp; sympton (conference)'!F8)</f>
        <v>0</v>
      </c>
      <c r="G8" s="28">
        <f>SUM('location &amp; sympton (survey)'!G8,'location &amp; sympton (github)'!G8,'location &amp; sympton (conference)'!G8)</f>
        <v>0</v>
      </c>
      <c r="H8" s="28">
        <f>SUM('location &amp; sympton (survey)'!H8,'location &amp; sympton (github)'!H8,'location &amp; sympton (conference)'!H8)</f>
        <v>0</v>
      </c>
      <c r="I8" s="28">
        <f>SUM('location &amp; sympton (survey)'!I8,'location &amp; sympton (github)'!I8,'location &amp; sympton (conference)'!I8)</f>
        <v>0</v>
      </c>
      <c r="J8" s="28">
        <f>SUM('location &amp; sympton (survey)'!J8,'location &amp; sympton (github)'!J8,'location &amp; sympton (conference)'!J8)</f>
        <v>0</v>
      </c>
      <c r="K8" s="28">
        <f>SUM('location &amp; sympton (survey)'!K8,'location &amp; sympton (github)'!K8,'location &amp; sympton (conference)'!K8)</f>
        <v>0</v>
      </c>
      <c r="L8" s="28">
        <f>SUM('location &amp; sympton (survey)'!L8,'location &amp; sympton (github)'!L8,'location &amp; sympton (conference)'!L8)</f>
        <v>0</v>
      </c>
      <c r="M8" s="29">
        <f>SUM('location &amp; sympton (survey)'!M8,'location &amp; sympton (github)'!M8,'location &amp; sympton (conference)'!M8)</f>
        <v>0</v>
      </c>
      <c r="N8" s="28">
        <f>SUM('location &amp; sympton (survey)'!N8,'location &amp; sympton (github)'!N8,'location &amp; sympton (conference)'!N8)</f>
        <v>0</v>
      </c>
      <c r="O8" s="28">
        <f>SUM('location &amp; sympton (survey)'!O8,'location &amp; sympton (github)'!O8,'location &amp; sympton (conference)'!O8)</f>
        <v>2</v>
      </c>
      <c r="P8" s="28">
        <f>SUM('location &amp; sympton (survey)'!P8,'location &amp; sympton (github)'!P8,'location &amp; sympton (conference)'!P8)</f>
        <v>1</v>
      </c>
      <c r="Q8" s="29">
        <f>SUM('location &amp; sympton (survey)'!Q8,'location &amp; sympton (github)'!Q8,'location &amp; sympton (conference)'!Q8)</f>
        <v>0</v>
      </c>
      <c r="R8" s="12">
        <f t="shared" si="0"/>
        <v>4</v>
      </c>
    </row>
  </sheetData>
  <mergeCells count="5">
    <mergeCell ref="A1:A2"/>
    <mergeCell ref="B1:F1"/>
    <mergeCell ref="G1:M1"/>
    <mergeCell ref="N1:Q1"/>
    <mergeCell ref="R1:R2"/>
  </mergeCells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6025-2090-4107-8D99-F7BF718204FB}">
  <dimension ref="A1:R12"/>
  <sheetViews>
    <sheetView topLeftCell="B1" zoomScale="82" workbookViewId="0">
      <selection activeCell="O13" sqref="O13"/>
    </sheetView>
  </sheetViews>
  <sheetFormatPr defaultRowHeight="14" x14ac:dyDescent="0.3"/>
  <cols>
    <col min="1" max="1" width="25.83203125" customWidth="1"/>
    <col min="2" max="2" width="21.08203125" customWidth="1"/>
    <col min="3" max="3" width="21.33203125" customWidth="1"/>
    <col min="4" max="6" width="11.9140625" customWidth="1"/>
    <col min="7" max="7" width="13" customWidth="1"/>
    <col min="8" max="8" width="16" customWidth="1"/>
    <col min="9" max="9" width="13.83203125" customWidth="1"/>
    <col min="10" max="10" width="12.33203125" customWidth="1"/>
    <col min="11" max="11" width="14.83203125" customWidth="1"/>
    <col min="12" max="12" width="10.9140625" customWidth="1"/>
    <col min="14" max="14" width="11.5" customWidth="1"/>
    <col min="15" max="15" width="19" customWidth="1"/>
    <col min="16" max="16" width="15.5" customWidth="1"/>
  </cols>
  <sheetData>
    <row r="1" spans="1:18" x14ac:dyDescent="0.3">
      <c r="A1" s="31" t="s">
        <v>16</v>
      </c>
      <c r="B1" s="33" t="s">
        <v>0</v>
      </c>
      <c r="C1" s="34"/>
      <c r="D1" s="34"/>
      <c r="E1" s="34"/>
      <c r="F1" s="35"/>
      <c r="G1" s="33" t="s">
        <v>1</v>
      </c>
      <c r="H1" s="34"/>
      <c r="I1" s="34"/>
      <c r="J1" s="34"/>
      <c r="K1" s="34"/>
      <c r="L1" s="34"/>
      <c r="M1" s="35"/>
      <c r="N1" s="33" t="s">
        <v>2</v>
      </c>
      <c r="O1" s="34"/>
      <c r="P1" s="34"/>
      <c r="Q1" s="35"/>
      <c r="R1" s="37" t="s">
        <v>31</v>
      </c>
    </row>
    <row r="2" spans="1:18" ht="30" customHeight="1" x14ac:dyDescent="0.3">
      <c r="A2" s="32"/>
      <c r="B2" s="8" t="s">
        <v>3</v>
      </c>
      <c r="C2" s="23" t="s">
        <v>4</v>
      </c>
      <c r="D2" s="6" t="s">
        <v>9</v>
      </c>
      <c r="E2" s="6" t="s">
        <v>34</v>
      </c>
      <c r="F2" s="7" t="s">
        <v>35</v>
      </c>
      <c r="G2" s="8" t="s">
        <v>5</v>
      </c>
      <c r="H2" s="6" t="s">
        <v>6</v>
      </c>
      <c r="I2" s="6" t="s">
        <v>7</v>
      </c>
      <c r="J2" s="6" t="s">
        <v>8</v>
      </c>
      <c r="K2" s="6" t="s">
        <v>10</v>
      </c>
      <c r="L2" s="6" t="s">
        <v>11</v>
      </c>
      <c r="M2" s="7" t="s">
        <v>33</v>
      </c>
      <c r="N2" s="8" t="s">
        <v>12</v>
      </c>
      <c r="O2" s="15" t="s">
        <v>13</v>
      </c>
      <c r="P2" s="9" t="s">
        <v>14</v>
      </c>
      <c r="Q2" s="7" t="s">
        <v>15</v>
      </c>
      <c r="R2" s="32"/>
    </row>
    <row r="3" spans="1:18" x14ac:dyDescent="0.3">
      <c r="A3" s="5" t="s">
        <v>23</v>
      </c>
      <c r="B3" s="17">
        <f>SUM('location &amp; root cause (survey)'!B3,'location &amp; root cause (github)'!B3,'location &amp; root cause (confere)'!B3)</f>
        <v>1</v>
      </c>
      <c r="C3" s="30">
        <f>SUM('location &amp; root cause (survey)'!C3,'location &amp; root cause (github)'!C3,'location &amp; root cause (confere)'!C3)</f>
        <v>0</v>
      </c>
      <c r="D3" s="30">
        <f>SUM('location &amp; root cause (survey)'!D3,'location &amp; root cause (github)'!D3,'location &amp; root cause (confere)'!D3)</f>
        <v>0</v>
      </c>
      <c r="E3" s="30">
        <f>SUM('location &amp; root cause (survey)'!E3,'location &amp; root cause (github)'!E3,'location &amp; root cause (confere)'!E3)</f>
        <v>0</v>
      </c>
      <c r="F3" s="25">
        <f>SUM('location &amp; root cause (survey)'!F3,'location &amp; root cause (github)'!F3,'location &amp; root cause (confere)'!F3)</f>
        <v>0</v>
      </c>
      <c r="G3" s="30">
        <f>SUM('location &amp; root cause (survey)'!G3,'location &amp; root cause (github)'!G3,'location &amp; root cause (confere)'!G3)</f>
        <v>0</v>
      </c>
      <c r="H3" s="30">
        <f>SUM('location &amp; root cause (survey)'!H3,'location &amp; root cause (github)'!H3,'location &amp; root cause (confere)'!H3)</f>
        <v>0</v>
      </c>
      <c r="I3" s="30">
        <f>SUM('location &amp; root cause (survey)'!I3,'location &amp; root cause (github)'!I3,'location &amp; root cause (confere)'!I3)</f>
        <v>0</v>
      </c>
      <c r="J3" s="30">
        <f>SUM('location &amp; root cause (survey)'!J3,'location &amp; root cause (github)'!J3,'location &amp; root cause (confere)'!J3)</f>
        <v>0</v>
      </c>
      <c r="K3" s="30">
        <f>SUM('location &amp; root cause (survey)'!K3,'location &amp; root cause (github)'!K3,'location &amp; root cause (confere)'!K3)</f>
        <v>0</v>
      </c>
      <c r="L3" s="30">
        <f>SUM('location &amp; root cause (survey)'!L3,'location &amp; root cause (github)'!L3,'location &amp; root cause (confere)'!L3)</f>
        <v>0</v>
      </c>
      <c r="M3" s="25">
        <f>SUM('location &amp; root cause (survey)'!M3,'location &amp; root cause (github)'!M3,'location &amp; root cause (confere)'!M3)</f>
        <v>0</v>
      </c>
      <c r="N3" s="30">
        <f>SUM('location &amp; root cause (survey)'!N3,'location &amp; root cause (github)'!N3,'location &amp; root cause (confere)'!N3)</f>
        <v>0</v>
      </c>
      <c r="O3" s="30">
        <f>SUM('location &amp; root cause (survey)'!O3,'location &amp; root cause (github)'!O3,'location &amp; root cause (confere)'!O3)</f>
        <v>0</v>
      </c>
      <c r="P3" s="30">
        <f>SUM('location &amp; root cause (survey)'!P3,'location &amp; root cause (github)'!P3,'location &amp; root cause (confere)'!P3)</f>
        <v>0</v>
      </c>
      <c r="Q3" s="30">
        <f>SUM('location &amp; root cause (survey)'!Q3,'location &amp; root cause (github)'!Q3,'location &amp; root cause (confere)'!Q3)</f>
        <v>0</v>
      </c>
      <c r="R3" s="5">
        <f>SUM(B3:Q3)</f>
        <v>1</v>
      </c>
    </row>
    <row r="4" spans="1:18" x14ac:dyDescent="0.3">
      <c r="A4" s="5" t="s">
        <v>24</v>
      </c>
      <c r="B4" s="17">
        <f>SUM('location &amp; root cause (survey)'!B4,'location &amp; root cause (github)'!B4,'location &amp; root cause (confere)'!B4)</f>
        <v>6</v>
      </c>
      <c r="C4" s="19">
        <v>3</v>
      </c>
      <c r="D4" s="19">
        <f>SUM('location &amp; root cause (survey)'!D4,'location &amp; root cause (github)'!D4,'location &amp; root cause (confere)'!D4)</f>
        <v>7</v>
      </c>
      <c r="E4" s="19">
        <f>SUM('location &amp; root cause (survey)'!E4,'location &amp; root cause (github)'!E4,'location &amp; root cause (confere)'!E4)</f>
        <v>1</v>
      </c>
      <c r="F4" s="26">
        <f>SUM('location &amp; root cause (survey)'!F4,'location &amp; root cause (github)'!F4,'location &amp; root cause (confere)'!F4)</f>
        <v>8</v>
      </c>
      <c r="G4" s="19">
        <f>SUM('location &amp; root cause (survey)'!G4,'location &amp; root cause (github)'!G4,'location &amp; root cause (confere)'!G4)</f>
        <v>0</v>
      </c>
      <c r="H4" s="19">
        <f>SUM('location &amp; root cause (survey)'!H4,'location &amp; root cause (github)'!H4,'location &amp; root cause (confere)'!H4)</f>
        <v>1</v>
      </c>
      <c r="I4" s="19">
        <f>SUM('location &amp; root cause (survey)'!I4,'location &amp; root cause (github)'!I4,'location &amp; root cause (confere)'!I4)</f>
        <v>0</v>
      </c>
      <c r="J4" s="19">
        <f>SUM('location &amp; root cause (survey)'!J4,'location &amp; root cause (github)'!J4,'location &amp; root cause (confere)'!J4)</f>
        <v>2</v>
      </c>
      <c r="K4" s="19">
        <f>SUM('location &amp; root cause (survey)'!K4,'location &amp; root cause (github)'!K4,'location &amp; root cause (confere)'!K4)</f>
        <v>0</v>
      </c>
      <c r="L4" s="19">
        <f>SUM('location &amp; root cause (survey)'!L4,'location &amp; root cause (github)'!L4,'location &amp; root cause (confere)'!L4)</f>
        <v>3</v>
      </c>
      <c r="M4" s="26">
        <f>SUM('location &amp; root cause (survey)'!M4,'location &amp; root cause (github)'!M4,'location &amp; root cause (confere)'!M4)</f>
        <v>1</v>
      </c>
      <c r="N4" s="19">
        <f>SUM('location &amp; root cause (survey)'!N4,'location &amp; root cause (github)'!N4,'location &amp; root cause (confere)'!N4)</f>
        <v>1</v>
      </c>
      <c r="O4" s="19">
        <f>SUM('location &amp; root cause (survey)'!O4,'location &amp; root cause (github)'!O4,'location &amp; root cause (confere)'!O4)</f>
        <v>2</v>
      </c>
      <c r="P4" s="19">
        <f>SUM('location &amp; root cause (survey)'!P4,'location &amp; root cause (github)'!P4,'location &amp; root cause (confere)'!P4)</f>
        <v>1</v>
      </c>
      <c r="Q4" s="19">
        <v>4</v>
      </c>
      <c r="R4" s="5">
        <f t="shared" ref="R4:R10" si="0">SUM(B4:Q4)</f>
        <v>40</v>
      </c>
    </row>
    <row r="5" spans="1:18" x14ac:dyDescent="0.3">
      <c r="A5" s="5" t="s">
        <v>25</v>
      </c>
      <c r="B5" s="17">
        <f>SUM('location &amp; root cause (survey)'!B5,'location &amp; root cause (github)'!B5,'location &amp; root cause (confere)'!B5)</f>
        <v>1</v>
      </c>
      <c r="C5" s="19">
        <f>SUM('location &amp; root cause (survey)'!C5,'location &amp; root cause (github)'!C5,'location &amp; root cause (confere)'!C5)</f>
        <v>1</v>
      </c>
      <c r="D5" s="19">
        <f>SUM('location &amp; root cause (survey)'!D5,'location &amp; root cause (github)'!D5,'location &amp; root cause (confere)'!D5)</f>
        <v>0</v>
      </c>
      <c r="E5" s="19">
        <f>SUM('location &amp; root cause (survey)'!E5,'location &amp; root cause (github)'!E5,'location &amp; root cause (confere)'!E5)</f>
        <v>0</v>
      </c>
      <c r="F5" s="26">
        <f>SUM('location &amp; root cause (survey)'!F5,'location &amp; root cause (github)'!F5,'location &amp; root cause (confere)'!F5)</f>
        <v>0</v>
      </c>
      <c r="G5" s="19">
        <f>SUM('location &amp; root cause (survey)'!G5,'location &amp; root cause (github)'!G5,'location &amp; root cause (confere)'!G5)</f>
        <v>2</v>
      </c>
      <c r="H5" s="19">
        <f>SUM('location &amp; root cause (survey)'!H5,'location &amp; root cause (github)'!H5,'location &amp; root cause (confere)'!H5)</f>
        <v>9</v>
      </c>
      <c r="I5" s="19">
        <f>SUM('location &amp; root cause (survey)'!I5,'location &amp; root cause (github)'!I5,'location &amp; root cause (confere)'!I5)</f>
        <v>9</v>
      </c>
      <c r="J5" s="19">
        <f>SUM('location &amp; root cause (survey)'!J5,'location &amp; root cause (github)'!J5,'location &amp; root cause (confere)'!J5)</f>
        <v>10</v>
      </c>
      <c r="K5" s="19">
        <f>SUM('location &amp; root cause (survey)'!K5,'location &amp; root cause (github)'!K5,'location &amp; root cause (confere)'!K5)</f>
        <v>1</v>
      </c>
      <c r="L5" s="19">
        <f>SUM('location &amp; root cause (survey)'!L5,'location &amp; root cause (github)'!L5,'location &amp; root cause (confere)'!L5)</f>
        <v>0</v>
      </c>
      <c r="M5" s="26">
        <f>SUM('location &amp; root cause (survey)'!M5,'location &amp; root cause (github)'!M5,'location &amp; root cause (confere)'!M5)</f>
        <v>0</v>
      </c>
      <c r="N5" s="19">
        <f>SUM('location &amp; root cause (survey)'!N5,'location &amp; root cause (github)'!N5,'location &amp; root cause (confere)'!N5)</f>
        <v>0</v>
      </c>
      <c r="O5" s="19">
        <f>SUM('location &amp; root cause (survey)'!O5,'location &amp; root cause (github)'!O5,'location &amp; root cause (confere)'!O5)</f>
        <v>0</v>
      </c>
      <c r="P5" s="19">
        <f>SUM('location &amp; root cause (survey)'!P5,'location &amp; root cause (github)'!P5,'location &amp; root cause (confere)'!P5)</f>
        <v>0</v>
      </c>
      <c r="Q5" s="19">
        <f>SUM('location &amp; root cause (survey)'!Q5,'location &amp; root cause (github)'!Q5,'location &amp; root cause (confere)'!Q5)</f>
        <v>0</v>
      </c>
      <c r="R5" s="5">
        <f t="shared" si="0"/>
        <v>33</v>
      </c>
    </row>
    <row r="6" spans="1:18" x14ac:dyDescent="0.3">
      <c r="A6" s="5" t="s">
        <v>26</v>
      </c>
      <c r="B6" s="17">
        <f>SUM('location &amp; root cause (survey)'!B6,'location &amp; root cause (github)'!B6,'location &amp; root cause (confere)'!B6)</f>
        <v>0</v>
      </c>
      <c r="C6" s="19">
        <f>SUM('location &amp; root cause (survey)'!C6,'location &amp; root cause (github)'!C6,'location &amp; root cause (confere)'!C6)</f>
        <v>0</v>
      </c>
      <c r="D6" s="19">
        <f>SUM('location &amp; root cause (survey)'!D6,'location &amp; root cause (github)'!D6,'location &amp; root cause (confere)'!D6)</f>
        <v>0</v>
      </c>
      <c r="E6" s="19">
        <f>SUM('location &amp; root cause (survey)'!E6,'location &amp; root cause (github)'!E6,'location &amp; root cause (confere)'!E6)</f>
        <v>0</v>
      </c>
      <c r="F6" s="26">
        <f>SUM('location &amp; root cause (survey)'!F6,'location &amp; root cause (github)'!F6,'location &amp; root cause (confere)'!F6)</f>
        <v>0</v>
      </c>
      <c r="G6" s="19">
        <f>SUM('location &amp; root cause (survey)'!G6,'location &amp; root cause (github)'!G6,'location &amp; root cause (confere)'!G6)</f>
        <v>0</v>
      </c>
      <c r="H6" s="19">
        <f>SUM('location &amp; root cause (survey)'!H6,'location &amp; root cause (github)'!H6,'location &amp; root cause (confere)'!H6)</f>
        <v>4</v>
      </c>
      <c r="I6" s="19">
        <f>SUM('location &amp; root cause (survey)'!I6,'location &amp; root cause (github)'!I6,'location &amp; root cause (confere)'!I6)</f>
        <v>5</v>
      </c>
      <c r="J6" s="19">
        <f>SUM('location &amp; root cause (survey)'!J6,'location &amp; root cause (github)'!J6,'location &amp; root cause (confere)'!J6)</f>
        <v>3</v>
      </c>
      <c r="K6" s="19">
        <f>SUM('location &amp; root cause (survey)'!K6,'location &amp; root cause (github)'!K6,'location &amp; root cause (confere)'!K6)</f>
        <v>0</v>
      </c>
      <c r="L6" s="19">
        <f>SUM('location &amp; root cause (survey)'!L6,'location &amp; root cause (github)'!L6,'location &amp; root cause (confere)'!L6)</f>
        <v>1</v>
      </c>
      <c r="M6" s="26">
        <f>SUM('location &amp; root cause (survey)'!M6,'location &amp; root cause (github)'!M6,'location &amp; root cause (confere)'!M6)</f>
        <v>0</v>
      </c>
      <c r="N6" s="19">
        <f>SUM('location &amp; root cause (survey)'!N6,'location &amp; root cause (github)'!N6,'location &amp; root cause (confere)'!N6)</f>
        <v>0</v>
      </c>
      <c r="O6" s="19">
        <f>SUM('location &amp; root cause (survey)'!O6,'location &amp; root cause (github)'!O6,'location &amp; root cause (confere)'!O6)</f>
        <v>3</v>
      </c>
      <c r="P6" s="19">
        <f>SUM('location &amp; root cause (survey)'!P6,'location &amp; root cause (github)'!P6,'location &amp; root cause (confere)'!P6)</f>
        <v>1</v>
      </c>
      <c r="Q6" s="19">
        <f>SUM('location &amp; root cause (survey)'!Q6,'location &amp; root cause (github)'!Q6,'location &amp; root cause (confere)'!Q6)</f>
        <v>0</v>
      </c>
      <c r="R6" s="5">
        <f t="shared" si="0"/>
        <v>17</v>
      </c>
    </row>
    <row r="7" spans="1:18" x14ac:dyDescent="0.3">
      <c r="A7" s="5" t="s">
        <v>27</v>
      </c>
      <c r="B7" s="17">
        <f>SUM('location &amp; root cause (survey)'!B7,'location &amp; root cause (github)'!B7,'location &amp; root cause (confere)'!B7)</f>
        <v>0</v>
      </c>
      <c r="C7" s="19">
        <f>SUM('location &amp; root cause (survey)'!C7,'location &amp; root cause (github)'!C7,'location &amp; root cause (confere)'!C7)</f>
        <v>0</v>
      </c>
      <c r="D7" s="19">
        <f>SUM('location &amp; root cause (survey)'!D7,'location &amp; root cause (github)'!D7,'location &amp; root cause (confere)'!D7)</f>
        <v>0</v>
      </c>
      <c r="E7" s="19">
        <f>SUM('location &amp; root cause (survey)'!E7,'location &amp; root cause (github)'!E7,'location &amp; root cause (confere)'!E7)</f>
        <v>4</v>
      </c>
      <c r="F7" s="26">
        <f>SUM('location &amp; root cause (survey)'!F7,'location &amp; root cause (github)'!F7,'location &amp; root cause (confere)'!F7)</f>
        <v>0</v>
      </c>
      <c r="G7" s="19">
        <f>SUM('location &amp; root cause (survey)'!G7,'location &amp; root cause (github)'!G7,'location &amp; root cause (confere)'!G7)</f>
        <v>0</v>
      </c>
      <c r="H7" s="19">
        <f>SUM('location &amp; root cause (survey)'!H7,'location &amp; root cause (github)'!H7,'location &amp; root cause (confere)'!H7)</f>
        <v>0</v>
      </c>
      <c r="I7" s="19">
        <f>SUM('location &amp; root cause (survey)'!I7,'location &amp; root cause (github)'!I7,'location &amp; root cause (confere)'!I7)</f>
        <v>0</v>
      </c>
      <c r="J7" s="19">
        <f>SUM('location &amp; root cause (survey)'!J7,'location &amp; root cause (github)'!J7,'location &amp; root cause (confere)'!J7)</f>
        <v>0</v>
      </c>
      <c r="K7" s="19">
        <f>SUM('location &amp; root cause (survey)'!K7,'location &amp; root cause (github)'!K7,'location &amp; root cause (confere)'!K7)</f>
        <v>0</v>
      </c>
      <c r="L7" s="19">
        <f>SUM('location &amp; root cause (survey)'!L7,'location &amp; root cause (github)'!L7,'location &amp; root cause (confere)'!L7)</f>
        <v>8</v>
      </c>
      <c r="M7" s="26">
        <f>SUM('location &amp; root cause (survey)'!M7,'location &amp; root cause (github)'!M7,'location &amp; root cause (confere)'!M7)</f>
        <v>2</v>
      </c>
      <c r="N7" s="19">
        <f>SUM('location &amp; root cause (survey)'!N7,'location &amp; root cause (github)'!N7,'location &amp; root cause (confere)'!N7)</f>
        <v>0</v>
      </c>
      <c r="O7" s="19">
        <f>SUM('location &amp; root cause (survey)'!O7,'location &amp; root cause (github)'!O7,'location &amp; root cause (confere)'!O7)</f>
        <v>22</v>
      </c>
      <c r="P7" s="19">
        <f>SUM('location &amp; root cause (survey)'!P7,'location &amp; root cause (github)'!P7,'location &amp; root cause (confere)'!P7)</f>
        <v>1</v>
      </c>
      <c r="Q7" s="19">
        <f>SUM('location &amp; root cause (survey)'!Q7,'location &amp; root cause (github)'!Q7,'location &amp; root cause (confere)'!Q7)</f>
        <v>1</v>
      </c>
      <c r="R7" s="5">
        <f t="shared" si="0"/>
        <v>38</v>
      </c>
    </row>
    <row r="8" spans="1:18" x14ac:dyDescent="0.3">
      <c r="A8" s="5" t="s">
        <v>28</v>
      </c>
      <c r="B8" s="17">
        <f>SUM('location &amp; root cause (survey)'!B8,'location &amp; root cause (github)'!B8,'location &amp; root cause (confere)'!B8)</f>
        <v>0</v>
      </c>
      <c r="C8" s="19">
        <f>SUM('location &amp; root cause (survey)'!C8,'location &amp; root cause (github)'!C8,'location &amp; root cause (confere)'!C8)</f>
        <v>0</v>
      </c>
      <c r="D8" s="19">
        <f>SUM('location &amp; root cause (survey)'!D8,'location &amp; root cause (github)'!D8,'location &amp; root cause (confere)'!D8)</f>
        <v>0</v>
      </c>
      <c r="E8" s="19">
        <f>SUM('location &amp; root cause (survey)'!E8,'location &amp; root cause (github)'!E8,'location &amp; root cause (confere)'!E8)</f>
        <v>0</v>
      </c>
      <c r="F8" s="26">
        <f>SUM('location &amp; root cause (survey)'!F8,'location &amp; root cause (github)'!F8,'location &amp; root cause (confere)'!F8)</f>
        <v>0</v>
      </c>
      <c r="G8" s="19">
        <f>SUM('location &amp; root cause (survey)'!G8,'location &amp; root cause (github)'!G8,'location &amp; root cause (confere)'!G8)</f>
        <v>0</v>
      </c>
      <c r="H8" s="19">
        <f>SUM('location &amp; root cause (survey)'!H8,'location &amp; root cause (github)'!H8,'location &amp; root cause (confere)'!H8)</f>
        <v>0</v>
      </c>
      <c r="I8" s="19">
        <f>SUM('location &amp; root cause (survey)'!I8,'location &amp; root cause (github)'!I8,'location &amp; root cause (confere)'!I8)</f>
        <v>0</v>
      </c>
      <c r="J8" s="19">
        <f>SUM('location &amp; root cause (survey)'!J8,'location &amp; root cause (github)'!J8,'location &amp; root cause (confere)'!J8)</f>
        <v>0</v>
      </c>
      <c r="K8" s="19">
        <f>SUM('location &amp; root cause (survey)'!K8,'location &amp; root cause (github)'!K8,'location &amp; root cause (confere)'!K8)</f>
        <v>2</v>
      </c>
      <c r="L8" s="19">
        <f>SUM('location &amp; root cause (survey)'!L8,'location &amp; root cause (github)'!L8,'location &amp; root cause (confere)'!L8)</f>
        <v>0</v>
      </c>
      <c r="M8" s="26">
        <f>SUM('location &amp; root cause (survey)'!M8,'location &amp; root cause (github)'!M8,'location &amp; root cause (confere)'!M8)</f>
        <v>0</v>
      </c>
      <c r="N8" s="19">
        <f>SUM('location &amp; root cause (survey)'!N8,'location &amp; root cause (github)'!N8,'location &amp; root cause (confere)'!N8)</f>
        <v>0</v>
      </c>
      <c r="O8" s="19">
        <f>SUM('location &amp; root cause (survey)'!O8,'location &amp; root cause (github)'!O8,'location &amp; root cause (confere)'!O8)</f>
        <v>0</v>
      </c>
      <c r="P8" s="19">
        <f>SUM('location &amp; root cause (survey)'!P8,'location &amp; root cause (github)'!P8,'location &amp; root cause (confere)'!P8)</f>
        <v>0</v>
      </c>
      <c r="Q8" s="19">
        <f>SUM('location &amp; root cause (survey)'!Q8,'location &amp; root cause (github)'!Q8,'location &amp; root cause (confere)'!Q8)</f>
        <v>0</v>
      </c>
      <c r="R8" s="5">
        <f t="shared" si="0"/>
        <v>2</v>
      </c>
    </row>
    <row r="9" spans="1:18" x14ac:dyDescent="0.3">
      <c r="A9" s="5" t="s">
        <v>29</v>
      </c>
      <c r="B9" s="17">
        <f>SUM('location &amp; root cause (survey)'!B9,'location &amp; root cause (github)'!B9,'location &amp; root cause (confere)'!B9)</f>
        <v>1</v>
      </c>
      <c r="C9" s="19">
        <f>SUM('location &amp; root cause (survey)'!C9,'location &amp; root cause (github)'!C9,'location &amp; root cause (confere)'!C9)</f>
        <v>0</v>
      </c>
      <c r="D9" s="19">
        <f>SUM('location &amp; root cause (survey)'!D9,'location &amp; root cause (github)'!D9,'location &amp; root cause (confere)'!D9)</f>
        <v>0</v>
      </c>
      <c r="E9" s="19">
        <f>SUM('location &amp; root cause (survey)'!E9,'location &amp; root cause (github)'!E9,'location &amp; root cause (confere)'!E9)</f>
        <v>0</v>
      </c>
      <c r="F9" s="26">
        <f>SUM('location &amp; root cause (survey)'!F9,'location &amp; root cause (github)'!F9,'location &amp; root cause (confere)'!F9)</f>
        <v>0</v>
      </c>
      <c r="G9" s="19">
        <f>SUM('location &amp; root cause (survey)'!G9,'location &amp; root cause (github)'!G9,'location &amp; root cause (confere)'!G9)</f>
        <v>0</v>
      </c>
      <c r="H9" s="19">
        <f>SUM('location &amp; root cause (survey)'!H9,'location &amp; root cause (github)'!H9,'location &amp; root cause (confere)'!H9)</f>
        <v>0</v>
      </c>
      <c r="I9" s="19">
        <f>SUM('location &amp; root cause (survey)'!I9,'location &amp; root cause (github)'!I9,'location &amp; root cause (confere)'!I9)</f>
        <v>0</v>
      </c>
      <c r="J9" s="19">
        <f>SUM('location &amp; root cause (survey)'!J9,'location &amp; root cause (github)'!J9,'location &amp; root cause (confere)'!J9)</f>
        <v>0</v>
      </c>
      <c r="K9" s="19">
        <f>SUM('location &amp; root cause (survey)'!K9,'location &amp; root cause (github)'!K9,'location &amp; root cause (confere)'!K9)</f>
        <v>0</v>
      </c>
      <c r="L9" s="19">
        <f>SUM('location &amp; root cause (survey)'!L9,'location &amp; root cause (github)'!L9,'location &amp; root cause (confere)'!L9)</f>
        <v>0</v>
      </c>
      <c r="M9" s="26">
        <f>SUM('location &amp; root cause (survey)'!M9,'location &amp; root cause (github)'!M9,'location &amp; root cause (confere)'!M9)</f>
        <v>1</v>
      </c>
      <c r="N9" s="19">
        <f>SUM('location &amp; root cause (survey)'!N9,'location &amp; root cause (github)'!N9,'location &amp; root cause (confere)'!N9)</f>
        <v>0</v>
      </c>
      <c r="O9" s="19">
        <f>SUM('location &amp; root cause (survey)'!O9,'location &amp; root cause (github)'!O9,'location &amp; root cause (confere)'!O9)</f>
        <v>0</v>
      </c>
      <c r="P9" s="19">
        <f>SUM('location &amp; root cause (survey)'!P9,'location &amp; root cause (github)'!P9,'location &amp; root cause (confere)'!P9)</f>
        <v>0</v>
      </c>
      <c r="Q9" s="19">
        <f>SUM('location &amp; root cause (survey)'!Q9,'location &amp; root cause (github)'!Q9,'location &amp; root cause (confere)'!Q9)</f>
        <v>0</v>
      </c>
      <c r="R9" s="5">
        <f t="shared" si="0"/>
        <v>2</v>
      </c>
    </row>
    <row r="10" spans="1:18" x14ac:dyDescent="0.3">
      <c r="A10" s="16" t="s">
        <v>30</v>
      </c>
      <c r="B10" s="27">
        <f>SUM('location &amp; root cause (survey)'!B10,'location &amp; root cause (github)'!B10,'location &amp; root cause (confere)'!B10)</f>
        <v>0</v>
      </c>
      <c r="C10" s="28">
        <f>SUM('location &amp; root cause (survey)'!C10,'location &amp; root cause (github)'!C10,'location &amp; root cause (confere)'!C10)</f>
        <v>0</v>
      </c>
      <c r="D10" s="28">
        <f>SUM('location &amp; root cause (survey)'!D10,'location &amp; root cause (github)'!D10,'location &amp; root cause (confere)'!D10)</f>
        <v>1</v>
      </c>
      <c r="E10" s="28">
        <f>SUM('location &amp; root cause (survey)'!E10,'location &amp; root cause (github)'!E10,'location &amp; root cause (confere)'!E10)</f>
        <v>1</v>
      </c>
      <c r="F10" s="29">
        <f>SUM('location &amp; root cause (survey)'!F10,'location &amp; root cause (github)'!F10,'location &amp; root cause (confere)'!F10)</f>
        <v>2</v>
      </c>
      <c r="G10" s="28">
        <f>SUM('location &amp; root cause (survey)'!G10,'location &amp; root cause (github)'!G10,'location &amp; root cause (confere)'!G10)</f>
        <v>0</v>
      </c>
      <c r="H10" s="28">
        <f>SUM('location &amp; root cause (survey)'!H10,'location &amp; root cause (github)'!H10,'location &amp; root cause (confere)'!H10)</f>
        <v>0</v>
      </c>
      <c r="I10" s="28">
        <f>SUM('location &amp; root cause (survey)'!I10,'location &amp; root cause (github)'!I10,'location &amp; root cause (confere)'!I10)</f>
        <v>0</v>
      </c>
      <c r="J10" s="28">
        <f>SUM('location &amp; root cause (survey)'!J10,'location &amp; root cause (github)'!J10,'location &amp; root cause (confere)'!J10)</f>
        <v>0</v>
      </c>
      <c r="K10" s="28">
        <f>SUM('location &amp; root cause (survey)'!K10,'location &amp; root cause (github)'!K10,'location &amp; root cause (confere)'!K10)</f>
        <v>0</v>
      </c>
      <c r="L10" s="28">
        <f>SUM('location &amp; root cause (survey)'!L10,'location &amp; root cause (github)'!L10,'location &amp; root cause (confere)'!L10)</f>
        <v>3</v>
      </c>
      <c r="M10" s="29">
        <f>SUM('location &amp; root cause (survey)'!M10,'location &amp; root cause (github)'!M10,'location &amp; root cause (confere)'!M10)</f>
        <v>1</v>
      </c>
      <c r="N10" s="28">
        <f>SUM('location &amp; root cause (survey)'!N10,'location &amp; root cause (github)'!N10,'location &amp; root cause (confere)'!N10)</f>
        <v>3</v>
      </c>
      <c r="O10" s="28">
        <f>SUM('location &amp; root cause (survey)'!O10,'location &amp; root cause (github)'!O10,'location &amp; root cause (confere)'!O10)</f>
        <v>13</v>
      </c>
      <c r="P10" s="28">
        <f>SUM('location &amp; root cause (survey)'!P10,'location &amp; root cause (github)'!P10,'location &amp; root cause (confere)'!P10)</f>
        <v>1</v>
      </c>
      <c r="Q10" s="28">
        <f>SUM('location &amp; root cause (survey)'!Q10,'location &amp; root cause (github)'!Q10,'location &amp; root cause (confere)'!Q10)</f>
        <v>0</v>
      </c>
      <c r="R10" s="16">
        <f t="shared" si="0"/>
        <v>25</v>
      </c>
    </row>
    <row r="11" spans="1:18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2"/>
    </row>
    <row r="12" spans="1:18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</sheetData>
  <mergeCells count="5">
    <mergeCell ref="A1:A2"/>
    <mergeCell ref="B1:F1"/>
    <mergeCell ref="G1:M1"/>
    <mergeCell ref="N1:Q1"/>
    <mergeCell ref="R1:R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D86A-49E2-447E-B963-1ADCF7D182AB}">
  <dimension ref="A1:R9"/>
  <sheetViews>
    <sheetView workbookViewId="0">
      <selection activeCell="C7" sqref="C7"/>
    </sheetView>
  </sheetViews>
  <sheetFormatPr defaultRowHeight="14" x14ac:dyDescent="0.3"/>
  <cols>
    <col min="1" max="1" width="20.4140625" customWidth="1"/>
    <col min="2" max="3" width="21.33203125" customWidth="1"/>
    <col min="4" max="5" width="11.9140625" customWidth="1"/>
    <col min="6" max="6" width="10" customWidth="1"/>
    <col min="7" max="7" width="13" customWidth="1"/>
    <col min="8" max="8" width="15.08203125" customWidth="1"/>
    <col min="9" max="9" width="12.08203125" customWidth="1"/>
    <col min="10" max="10" width="12.33203125" customWidth="1"/>
    <col min="11" max="11" width="14.4140625" customWidth="1"/>
    <col min="12" max="12" width="11.33203125" customWidth="1"/>
    <col min="14" max="14" width="11.5" customWidth="1"/>
    <col min="15" max="15" width="19" customWidth="1"/>
    <col min="16" max="16" width="15.5" customWidth="1"/>
  </cols>
  <sheetData>
    <row r="1" spans="1:18" x14ac:dyDescent="0.3">
      <c r="A1" s="31" t="s">
        <v>16</v>
      </c>
      <c r="B1" s="33" t="s">
        <v>0</v>
      </c>
      <c r="C1" s="34"/>
      <c r="D1" s="34"/>
      <c r="E1" s="34"/>
      <c r="F1" s="35"/>
      <c r="G1" s="33" t="s">
        <v>1</v>
      </c>
      <c r="H1" s="34"/>
      <c r="I1" s="34"/>
      <c r="J1" s="34"/>
      <c r="K1" s="34"/>
      <c r="L1" s="36"/>
      <c r="M1" s="35"/>
      <c r="N1" s="33" t="s">
        <v>2</v>
      </c>
      <c r="O1" s="34"/>
      <c r="P1" s="34"/>
      <c r="Q1" s="35"/>
      <c r="R1" s="37" t="s">
        <v>31</v>
      </c>
    </row>
    <row r="2" spans="1:18" ht="30" customHeight="1" x14ac:dyDescent="0.3">
      <c r="A2" s="32"/>
      <c r="B2" s="8" t="s">
        <v>3</v>
      </c>
      <c r="C2" s="6" t="s">
        <v>4</v>
      </c>
      <c r="D2" s="6" t="s">
        <v>9</v>
      </c>
      <c r="E2" s="6" t="s">
        <v>34</v>
      </c>
      <c r="F2" s="7" t="s">
        <v>35</v>
      </c>
      <c r="G2" s="8" t="s">
        <v>5</v>
      </c>
      <c r="H2" s="6" t="s">
        <v>6</v>
      </c>
      <c r="I2" s="6" t="s">
        <v>7</v>
      </c>
      <c r="J2" s="6" t="s">
        <v>8</v>
      </c>
      <c r="K2" s="6" t="s">
        <v>10</v>
      </c>
      <c r="L2" s="6" t="s">
        <v>11</v>
      </c>
      <c r="M2" s="7" t="s">
        <v>32</v>
      </c>
      <c r="N2" s="8" t="s">
        <v>12</v>
      </c>
      <c r="O2" s="15" t="s">
        <v>13</v>
      </c>
      <c r="P2" s="9" t="s">
        <v>14</v>
      </c>
      <c r="Q2" s="7" t="s">
        <v>15</v>
      </c>
      <c r="R2" s="32"/>
    </row>
    <row r="3" spans="1:18" x14ac:dyDescent="0.3">
      <c r="A3" s="5" t="s">
        <v>17</v>
      </c>
      <c r="B3" s="17">
        <v>3</v>
      </c>
      <c r="C3" s="2">
        <v>2</v>
      </c>
      <c r="D3" s="2">
        <v>3</v>
      </c>
      <c r="E3" s="22">
        <v>1</v>
      </c>
      <c r="F3" s="4">
        <v>2</v>
      </c>
      <c r="G3" s="1"/>
      <c r="H3" s="2">
        <v>2</v>
      </c>
      <c r="I3" s="2"/>
      <c r="J3" s="2">
        <v>7</v>
      </c>
      <c r="K3" s="2"/>
      <c r="L3" s="2"/>
      <c r="M3" s="3"/>
      <c r="N3" s="1"/>
      <c r="O3" s="13">
        <v>11</v>
      </c>
      <c r="P3" s="2"/>
      <c r="Q3" s="3">
        <v>1</v>
      </c>
      <c r="R3" s="5">
        <f>SUM(B3:Q3)</f>
        <v>32</v>
      </c>
    </row>
    <row r="4" spans="1:18" x14ac:dyDescent="0.3">
      <c r="A4" s="5" t="s">
        <v>18</v>
      </c>
      <c r="B4" s="1"/>
      <c r="C4" s="2"/>
      <c r="D4" s="2"/>
      <c r="E4" s="2"/>
      <c r="F4" s="3"/>
      <c r="G4" s="1"/>
      <c r="H4" s="2"/>
      <c r="I4" s="13">
        <v>1</v>
      </c>
      <c r="J4" s="2"/>
      <c r="K4" s="2"/>
      <c r="L4" s="2"/>
      <c r="M4" s="3"/>
      <c r="N4" s="1"/>
      <c r="O4" s="13"/>
      <c r="P4" s="2"/>
      <c r="Q4" s="3"/>
      <c r="R4" s="5">
        <f t="shared" ref="R4:R8" si="0">SUM(B4:Q4)</f>
        <v>1</v>
      </c>
    </row>
    <row r="5" spans="1:18" x14ac:dyDescent="0.3">
      <c r="A5" s="5" t="s">
        <v>19</v>
      </c>
      <c r="B5" s="17">
        <v>4</v>
      </c>
      <c r="C5" s="2"/>
      <c r="D5" s="2"/>
      <c r="E5" s="2"/>
      <c r="F5" s="3">
        <v>6</v>
      </c>
      <c r="G5" s="1">
        <v>2</v>
      </c>
      <c r="H5" s="2">
        <v>2</v>
      </c>
      <c r="I5" s="13">
        <v>6</v>
      </c>
      <c r="J5" s="2">
        <v>1</v>
      </c>
      <c r="K5" s="2"/>
      <c r="L5" s="2"/>
      <c r="M5" s="3"/>
      <c r="N5" s="1">
        <v>2</v>
      </c>
      <c r="O5" s="2">
        <v>3</v>
      </c>
      <c r="P5" s="2"/>
      <c r="Q5" s="3">
        <v>2</v>
      </c>
      <c r="R5" s="5">
        <f t="shared" si="0"/>
        <v>28</v>
      </c>
    </row>
    <row r="6" spans="1:18" x14ac:dyDescent="0.3">
      <c r="A6" s="5" t="s">
        <v>20</v>
      </c>
      <c r="B6" s="1"/>
      <c r="C6" s="2"/>
      <c r="D6" s="2"/>
      <c r="E6" s="2"/>
      <c r="F6" s="3"/>
      <c r="G6" s="1"/>
      <c r="H6" s="2"/>
      <c r="I6" s="13">
        <v>2</v>
      </c>
      <c r="J6" s="2"/>
      <c r="K6" s="2"/>
      <c r="L6" s="2"/>
      <c r="M6" s="3"/>
      <c r="N6" s="1"/>
      <c r="O6" s="2"/>
      <c r="P6" s="2"/>
      <c r="Q6" s="3"/>
      <c r="R6" s="5">
        <f t="shared" si="0"/>
        <v>2</v>
      </c>
    </row>
    <row r="7" spans="1:18" x14ac:dyDescent="0.3">
      <c r="A7" s="5" t="s">
        <v>21</v>
      </c>
      <c r="B7" s="1"/>
      <c r="C7" s="13">
        <v>2</v>
      </c>
      <c r="D7" s="2"/>
      <c r="E7" s="2"/>
      <c r="F7" s="3"/>
      <c r="G7" s="1"/>
      <c r="H7" s="2"/>
      <c r="I7" s="2"/>
      <c r="J7" s="2"/>
      <c r="K7" s="13">
        <v>2</v>
      </c>
      <c r="L7" s="13"/>
      <c r="M7" s="3"/>
      <c r="N7" s="1"/>
      <c r="O7" s="2"/>
      <c r="P7" s="2"/>
      <c r="Q7" s="3"/>
      <c r="R7" s="5">
        <f t="shared" si="0"/>
        <v>4</v>
      </c>
    </row>
    <row r="8" spans="1:18" x14ac:dyDescent="0.3">
      <c r="A8" s="16" t="s">
        <v>22</v>
      </c>
      <c r="B8" s="11"/>
      <c r="C8" s="10"/>
      <c r="D8" s="18">
        <v>1</v>
      </c>
      <c r="E8" s="18"/>
      <c r="F8" s="12"/>
      <c r="G8" s="11"/>
      <c r="H8" s="10"/>
      <c r="I8" s="10"/>
      <c r="J8" s="10"/>
      <c r="K8" s="10"/>
      <c r="L8" s="10"/>
      <c r="M8" s="12"/>
      <c r="N8" s="11"/>
      <c r="O8" s="10"/>
      <c r="P8" s="18">
        <v>1</v>
      </c>
      <c r="Q8" s="12"/>
      <c r="R8" s="16">
        <f t="shared" si="0"/>
        <v>2</v>
      </c>
    </row>
    <row r="9" spans="1:18" x14ac:dyDescent="0.3">
      <c r="R9" s="22"/>
    </row>
  </sheetData>
  <mergeCells count="5">
    <mergeCell ref="A1:A2"/>
    <mergeCell ref="B1:F1"/>
    <mergeCell ref="G1:M1"/>
    <mergeCell ref="N1:Q1"/>
    <mergeCell ref="R1:R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FC53-8286-4CD1-B480-9E4C94F7E454}">
  <dimension ref="A1:R12"/>
  <sheetViews>
    <sheetView topLeftCell="M1" workbookViewId="0">
      <selection activeCell="D14" sqref="A1:XFD1048576"/>
    </sheetView>
  </sheetViews>
  <sheetFormatPr defaultRowHeight="14" x14ac:dyDescent="0.3"/>
  <cols>
    <col min="1" max="1" width="25.83203125" customWidth="1"/>
    <col min="2" max="2" width="21.08203125" customWidth="1"/>
    <col min="3" max="3" width="21.33203125" customWidth="1"/>
    <col min="4" max="6" width="11.9140625" customWidth="1"/>
    <col min="7" max="7" width="13" customWidth="1"/>
    <col min="8" max="8" width="16" customWidth="1"/>
    <col min="9" max="9" width="13.83203125" customWidth="1"/>
    <col min="10" max="10" width="12.33203125" customWidth="1"/>
    <col min="11" max="11" width="14.83203125" customWidth="1"/>
    <col min="12" max="12" width="10.9140625" customWidth="1"/>
    <col min="14" max="14" width="11.5" customWidth="1"/>
    <col min="15" max="15" width="19" customWidth="1"/>
    <col min="16" max="16" width="15.5" customWidth="1"/>
  </cols>
  <sheetData>
    <row r="1" spans="1:18" x14ac:dyDescent="0.3">
      <c r="A1" s="31" t="s">
        <v>16</v>
      </c>
      <c r="B1" s="33" t="s">
        <v>0</v>
      </c>
      <c r="C1" s="34"/>
      <c r="D1" s="34"/>
      <c r="E1" s="34"/>
      <c r="F1" s="35"/>
      <c r="G1" s="33" t="s">
        <v>1</v>
      </c>
      <c r="H1" s="34"/>
      <c r="I1" s="34"/>
      <c r="J1" s="34"/>
      <c r="K1" s="34"/>
      <c r="L1" s="34"/>
      <c r="M1" s="35"/>
      <c r="N1" s="33" t="s">
        <v>2</v>
      </c>
      <c r="O1" s="34"/>
      <c r="P1" s="34"/>
      <c r="Q1" s="35"/>
      <c r="R1" s="37" t="s">
        <v>31</v>
      </c>
    </row>
    <row r="2" spans="1:18" ht="30" customHeight="1" x14ac:dyDescent="0.3">
      <c r="A2" s="32"/>
      <c r="B2" s="8" t="s">
        <v>3</v>
      </c>
      <c r="C2" s="6" t="s">
        <v>4</v>
      </c>
      <c r="D2" s="6" t="s">
        <v>9</v>
      </c>
      <c r="E2" s="6" t="s">
        <v>34</v>
      </c>
      <c r="F2" s="7" t="s">
        <v>35</v>
      </c>
      <c r="G2" s="8" t="s">
        <v>5</v>
      </c>
      <c r="H2" s="6" t="s">
        <v>6</v>
      </c>
      <c r="I2" s="6" t="s">
        <v>7</v>
      </c>
      <c r="J2" s="6" t="s">
        <v>8</v>
      </c>
      <c r="K2" s="6" t="s">
        <v>10</v>
      </c>
      <c r="L2" s="6" t="s">
        <v>11</v>
      </c>
      <c r="M2" s="7" t="s">
        <v>33</v>
      </c>
      <c r="N2" s="8" t="s">
        <v>12</v>
      </c>
      <c r="O2" s="15" t="s">
        <v>13</v>
      </c>
      <c r="P2" s="9" t="s">
        <v>14</v>
      </c>
      <c r="Q2" s="7" t="s">
        <v>15</v>
      </c>
      <c r="R2" s="32"/>
    </row>
    <row r="3" spans="1:18" x14ac:dyDescent="0.3">
      <c r="A3" s="5" t="s">
        <v>23</v>
      </c>
      <c r="B3" s="14">
        <v>1</v>
      </c>
      <c r="C3" s="2"/>
      <c r="D3" s="2"/>
      <c r="E3" s="2"/>
      <c r="F3" s="4"/>
      <c r="G3" s="1"/>
      <c r="H3" s="2"/>
      <c r="I3" s="2"/>
      <c r="J3" s="2"/>
      <c r="K3" s="2"/>
      <c r="L3" s="2"/>
      <c r="M3" s="3"/>
      <c r="N3" s="1"/>
      <c r="O3" s="13"/>
      <c r="P3" s="2"/>
      <c r="Q3" s="3"/>
      <c r="R3" s="5">
        <f>SUM(B3:Q3)</f>
        <v>1</v>
      </c>
    </row>
    <row r="4" spans="1:18" x14ac:dyDescent="0.3">
      <c r="A4" s="5" t="s">
        <v>24</v>
      </c>
      <c r="B4" s="14">
        <v>4</v>
      </c>
      <c r="C4" s="2">
        <v>3</v>
      </c>
      <c r="D4" s="2">
        <v>3</v>
      </c>
      <c r="E4" s="22">
        <v>1</v>
      </c>
      <c r="F4" s="3">
        <v>8</v>
      </c>
      <c r="G4" s="1"/>
      <c r="H4" s="2"/>
      <c r="I4" s="19"/>
      <c r="J4" s="2"/>
      <c r="K4" s="2"/>
      <c r="L4" s="2"/>
      <c r="M4" s="3"/>
      <c r="N4" s="1"/>
      <c r="O4" s="19">
        <v>2</v>
      </c>
      <c r="P4" s="2"/>
      <c r="Q4" s="3">
        <v>3</v>
      </c>
      <c r="R4" s="5">
        <f t="shared" ref="R4:R10" si="0">SUM(B4:Q4)</f>
        <v>24</v>
      </c>
    </row>
    <row r="5" spans="1:18" x14ac:dyDescent="0.3">
      <c r="A5" s="5" t="s">
        <v>25</v>
      </c>
      <c r="B5" s="17">
        <v>1</v>
      </c>
      <c r="C5" s="2">
        <v>1</v>
      </c>
      <c r="D5" s="2"/>
      <c r="E5" s="2"/>
      <c r="F5" s="3"/>
      <c r="G5" s="1">
        <v>2</v>
      </c>
      <c r="H5" s="2">
        <v>3</v>
      </c>
      <c r="I5" s="19">
        <v>7</v>
      </c>
      <c r="J5" s="13">
        <v>8</v>
      </c>
      <c r="K5" s="2"/>
      <c r="L5" s="2"/>
      <c r="M5" s="3"/>
      <c r="N5" s="1"/>
      <c r="O5" s="13"/>
      <c r="P5" s="2"/>
      <c r="Q5" s="3"/>
      <c r="R5" s="5">
        <f t="shared" si="0"/>
        <v>22</v>
      </c>
    </row>
    <row r="6" spans="1:18" x14ac:dyDescent="0.3">
      <c r="A6" s="5" t="s">
        <v>26</v>
      </c>
      <c r="B6" s="14"/>
      <c r="C6" s="2"/>
      <c r="D6" s="2"/>
      <c r="E6" s="2"/>
      <c r="F6" s="3"/>
      <c r="G6" s="1"/>
      <c r="H6" s="2">
        <v>1</v>
      </c>
      <c r="I6" s="13">
        <v>2</v>
      </c>
      <c r="J6" s="2"/>
      <c r="K6" s="2"/>
      <c r="L6" s="2"/>
      <c r="M6" s="3"/>
      <c r="N6" s="1"/>
      <c r="O6" s="2"/>
      <c r="P6" s="2"/>
      <c r="Q6" s="3"/>
      <c r="R6" s="5">
        <f t="shared" si="0"/>
        <v>3</v>
      </c>
    </row>
    <row r="7" spans="1:18" x14ac:dyDescent="0.3">
      <c r="A7" s="5" t="s">
        <v>27</v>
      </c>
      <c r="B7" s="1"/>
      <c r="C7" s="2"/>
      <c r="D7" s="2"/>
      <c r="E7" s="2"/>
      <c r="F7" s="3"/>
      <c r="G7" s="1"/>
      <c r="H7" s="2"/>
      <c r="I7" s="2"/>
      <c r="J7" s="2"/>
      <c r="K7" s="2"/>
      <c r="L7" s="2"/>
      <c r="M7" s="3"/>
      <c r="N7" s="1"/>
      <c r="O7" s="13">
        <v>11</v>
      </c>
      <c r="P7" s="2"/>
      <c r="Q7" s="3"/>
      <c r="R7" s="5">
        <f t="shared" si="0"/>
        <v>11</v>
      </c>
    </row>
    <row r="8" spans="1:18" x14ac:dyDescent="0.3">
      <c r="A8" s="5" t="s">
        <v>28</v>
      </c>
      <c r="B8" s="1"/>
      <c r="C8" s="2"/>
      <c r="D8" s="13"/>
      <c r="E8" s="13"/>
      <c r="F8" s="3"/>
      <c r="G8" s="1"/>
      <c r="H8" s="2"/>
      <c r="I8" s="19"/>
      <c r="J8" s="2"/>
      <c r="K8" s="13">
        <v>2</v>
      </c>
      <c r="L8" s="13"/>
      <c r="M8" s="3"/>
      <c r="N8" s="1"/>
      <c r="O8" s="2"/>
      <c r="P8" s="13"/>
      <c r="Q8" s="3"/>
      <c r="R8" s="5">
        <f t="shared" si="0"/>
        <v>2</v>
      </c>
    </row>
    <row r="9" spans="1:18" x14ac:dyDescent="0.3">
      <c r="A9" s="5" t="s">
        <v>29</v>
      </c>
      <c r="B9" s="14">
        <v>1</v>
      </c>
      <c r="C9" s="2"/>
      <c r="D9" s="2"/>
      <c r="E9" s="2"/>
      <c r="F9" s="3"/>
      <c r="G9" s="1"/>
      <c r="H9" s="2"/>
      <c r="I9" s="2"/>
      <c r="J9" s="2"/>
      <c r="K9" s="2"/>
      <c r="L9" s="2"/>
      <c r="M9" s="3"/>
      <c r="N9" s="1"/>
      <c r="O9" s="2"/>
      <c r="P9" s="2"/>
      <c r="Q9" s="3"/>
      <c r="R9" s="5">
        <f t="shared" si="0"/>
        <v>1</v>
      </c>
    </row>
    <row r="10" spans="1:18" x14ac:dyDescent="0.3">
      <c r="A10" s="16" t="s">
        <v>30</v>
      </c>
      <c r="B10" s="11"/>
      <c r="C10" s="10"/>
      <c r="D10" s="10">
        <v>1</v>
      </c>
      <c r="E10" s="10"/>
      <c r="F10" s="12"/>
      <c r="G10" s="11"/>
      <c r="H10" s="10"/>
      <c r="I10" s="10"/>
      <c r="J10" s="10"/>
      <c r="K10" s="10"/>
      <c r="L10" s="10"/>
      <c r="M10" s="12"/>
      <c r="N10" s="20">
        <v>2</v>
      </c>
      <c r="O10" s="10">
        <v>1</v>
      </c>
      <c r="P10" s="10">
        <v>1</v>
      </c>
      <c r="Q10" s="12"/>
      <c r="R10" s="16">
        <f t="shared" si="0"/>
        <v>5</v>
      </c>
    </row>
    <row r="11" spans="1:18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2"/>
    </row>
    <row r="12" spans="1:18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</sheetData>
  <mergeCells count="5">
    <mergeCell ref="A1:A2"/>
    <mergeCell ref="B1:F1"/>
    <mergeCell ref="G1:M1"/>
    <mergeCell ref="N1:Q1"/>
    <mergeCell ref="R1:R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F25D-6E14-4369-9939-F70B059B6E9B}">
  <dimension ref="A1:R9"/>
  <sheetViews>
    <sheetView topLeftCell="D1" workbookViewId="0">
      <selection activeCell="P9" sqref="P9"/>
    </sheetView>
  </sheetViews>
  <sheetFormatPr defaultRowHeight="14" x14ac:dyDescent="0.3"/>
  <cols>
    <col min="1" max="1" width="20.4140625" customWidth="1"/>
    <col min="2" max="2" width="23.4140625" customWidth="1"/>
    <col min="3" max="3" width="21.33203125" customWidth="1"/>
    <col min="4" max="6" width="11.9140625" customWidth="1"/>
    <col min="7" max="7" width="13" customWidth="1"/>
    <col min="8" max="8" width="16" customWidth="1"/>
    <col min="9" max="9" width="13.83203125" customWidth="1"/>
    <col min="10" max="10" width="12.33203125" customWidth="1"/>
    <col min="11" max="11" width="14.83203125" customWidth="1"/>
    <col min="12" max="12" width="10.58203125" customWidth="1"/>
    <col min="14" max="14" width="11.5" customWidth="1"/>
    <col min="15" max="15" width="19" customWidth="1"/>
    <col min="16" max="16" width="15.5" customWidth="1"/>
  </cols>
  <sheetData>
    <row r="1" spans="1:18" x14ac:dyDescent="0.3">
      <c r="A1" s="31" t="s">
        <v>16</v>
      </c>
      <c r="B1" s="33" t="s">
        <v>0</v>
      </c>
      <c r="C1" s="34"/>
      <c r="D1" s="34"/>
      <c r="E1" s="34"/>
      <c r="F1" s="35"/>
      <c r="G1" s="33" t="s">
        <v>1</v>
      </c>
      <c r="H1" s="34"/>
      <c r="I1" s="34"/>
      <c r="J1" s="34"/>
      <c r="K1" s="34"/>
      <c r="L1" s="34"/>
      <c r="M1" s="35"/>
      <c r="N1" s="33" t="s">
        <v>2</v>
      </c>
      <c r="O1" s="34"/>
      <c r="P1" s="34"/>
      <c r="Q1" s="35"/>
      <c r="R1" s="37" t="s">
        <v>31</v>
      </c>
    </row>
    <row r="2" spans="1:18" ht="30" customHeight="1" x14ac:dyDescent="0.3">
      <c r="A2" s="32"/>
      <c r="B2" s="8" t="s">
        <v>3</v>
      </c>
      <c r="C2" s="6" t="s">
        <v>4</v>
      </c>
      <c r="D2" s="6" t="s">
        <v>9</v>
      </c>
      <c r="E2" s="6" t="s">
        <v>34</v>
      </c>
      <c r="F2" s="7" t="s">
        <v>35</v>
      </c>
      <c r="G2" s="8" t="s">
        <v>5</v>
      </c>
      <c r="H2" s="6" t="s">
        <v>6</v>
      </c>
      <c r="I2" s="6" t="s">
        <v>7</v>
      </c>
      <c r="J2" s="6" t="s">
        <v>8</v>
      </c>
      <c r="K2" s="6" t="s">
        <v>10</v>
      </c>
      <c r="L2" s="6" t="s">
        <v>11</v>
      </c>
      <c r="M2" s="7" t="s">
        <v>32</v>
      </c>
      <c r="N2" s="8" t="s">
        <v>12</v>
      </c>
      <c r="O2" s="15" t="s">
        <v>13</v>
      </c>
      <c r="P2" s="9" t="s">
        <v>14</v>
      </c>
      <c r="Q2" s="7" t="s">
        <v>15</v>
      </c>
      <c r="R2" s="32"/>
    </row>
    <row r="3" spans="1:18" x14ac:dyDescent="0.3">
      <c r="A3" s="5" t="s">
        <v>17</v>
      </c>
      <c r="B3" s="17"/>
      <c r="C3" s="2"/>
      <c r="D3" s="2">
        <v>4</v>
      </c>
      <c r="E3" s="2">
        <v>5</v>
      </c>
      <c r="F3" s="4"/>
      <c r="G3" s="1"/>
      <c r="H3" s="2">
        <v>3</v>
      </c>
      <c r="I3" s="22">
        <v>1</v>
      </c>
      <c r="J3" s="2">
        <v>2</v>
      </c>
      <c r="K3" s="2"/>
      <c r="L3" s="22">
        <v>13</v>
      </c>
      <c r="M3" s="3">
        <v>3</v>
      </c>
      <c r="N3" s="1">
        <v>1</v>
      </c>
      <c r="O3" s="13">
        <v>11</v>
      </c>
      <c r="P3" s="2">
        <v>1</v>
      </c>
      <c r="Q3" s="3"/>
      <c r="R3" s="5">
        <f>SUM(B3:Q3)</f>
        <v>44</v>
      </c>
    </row>
    <row r="4" spans="1:18" x14ac:dyDescent="0.3">
      <c r="A4" s="5" t="s">
        <v>18</v>
      </c>
      <c r="B4" s="1"/>
      <c r="C4" s="2"/>
      <c r="D4" s="2"/>
      <c r="E4" s="2"/>
      <c r="F4" s="3"/>
      <c r="G4" s="1"/>
      <c r="H4" s="2">
        <v>1</v>
      </c>
      <c r="I4" s="13"/>
      <c r="J4" s="2"/>
      <c r="K4" s="2"/>
      <c r="L4" s="2"/>
      <c r="M4" s="3"/>
      <c r="N4" s="1"/>
      <c r="O4" s="13">
        <v>3</v>
      </c>
      <c r="P4" s="2"/>
      <c r="Q4" s="3"/>
      <c r="R4" s="5">
        <f t="shared" ref="R4:R8" si="0">SUM(B4:Q4)</f>
        <v>4</v>
      </c>
    </row>
    <row r="5" spans="1:18" x14ac:dyDescent="0.3">
      <c r="A5" s="5" t="s">
        <v>19</v>
      </c>
      <c r="B5" s="17">
        <v>2</v>
      </c>
      <c r="C5" s="2"/>
      <c r="D5" s="2"/>
      <c r="E5" s="2"/>
      <c r="F5" s="3"/>
      <c r="G5" s="1"/>
      <c r="H5" s="2">
        <v>3</v>
      </c>
      <c r="I5" s="13">
        <v>4</v>
      </c>
      <c r="J5" s="2"/>
      <c r="K5" s="2"/>
      <c r="L5" s="2">
        <v>1</v>
      </c>
      <c r="M5" s="3">
        <v>2</v>
      </c>
      <c r="N5" s="1">
        <v>1</v>
      </c>
      <c r="O5" s="22">
        <v>2</v>
      </c>
      <c r="P5" s="2">
        <v>1</v>
      </c>
      <c r="Q5" s="3">
        <v>2</v>
      </c>
      <c r="R5" s="5">
        <f t="shared" si="0"/>
        <v>18</v>
      </c>
    </row>
    <row r="6" spans="1:18" x14ac:dyDescent="0.3">
      <c r="A6" s="5" t="s">
        <v>20</v>
      </c>
      <c r="B6" s="1"/>
      <c r="C6" s="2"/>
      <c r="D6" s="2"/>
      <c r="E6" s="2"/>
      <c r="F6" s="3"/>
      <c r="G6" s="1"/>
      <c r="H6" s="2"/>
      <c r="I6" s="13"/>
      <c r="J6" s="2"/>
      <c r="K6" s="2"/>
      <c r="L6" s="2">
        <v>1</v>
      </c>
      <c r="M6" s="3"/>
      <c r="N6" s="1"/>
      <c r="O6" s="2"/>
      <c r="P6" s="2"/>
      <c r="Q6" s="3"/>
      <c r="R6" s="5">
        <f t="shared" si="0"/>
        <v>1</v>
      </c>
    </row>
    <row r="7" spans="1:18" x14ac:dyDescent="0.3">
      <c r="A7" s="5" t="s">
        <v>21</v>
      </c>
      <c r="B7" s="1"/>
      <c r="C7" s="2"/>
      <c r="D7" s="2"/>
      <c r="E7" s="2"/>
      <c r="F7" s="3"/>
      <c r="G7" s="1"/>
      <c r="H7" s="2"/>
      <c r="I7" s="2"/>
      <c r="J7" s="2"/>
      <c r="K7" s="2"/>
      <c r="L7" s="2"/>
      <c r="M7" s="3"/>
      <c r="N7" s="1"/>
      <c r="O7" s="2"/>
      <c r="P7" s="2"/>
      <c r="Q7" s="3"/>
      <c r="R7" s="5">
        <f t="shared" si="0"/>
        <v>0</v>
      </c>
    </row>
    <row r="8" spans="1:18" x14ac:dyDescent="0.3">
      <c r="A8" s="16" t="s">
        <v>22</v>
      </c>
      <c r="B8" s="11"/>
      <c r="C8" s="10"/>
      <c r="D8" s="18"/>
      <c r="E8" s="18"/>
      <c r="F8" s="12"/>
      <c r="G8" s="11"/>
      <c r="H8" s="10"/>
      <c r="I8" s="10"/>
      <c r="J8" s="10"/>
      <c r="K8" s="10"/>
      <c r="L8" s="10"/>
      <c r="M8" s="12"/>
      <c r="N8" s="11"/>
      <c r="O8" s="10">
        <v>1</v>
      </c>
      <c r="P8" s="18"/>
      <c r="Q8" s="12"/>
      <c r="R8" s="16">
        <f t="shared" si="0"/>
        <v>1</v>
      </c>
    </row>
    <row r="9" spans="1:18" x14ac:dyDescent="0.3">
      <c r="R9" s="22"/>
    </row>
  </sheetData>
  <mergeCells count="5">
    <mergeCell ref="A1:A2"/>
    <mergeCell ref="B1:F1"/>
    <mergeCell ref="G1:M1"/>
    <mergeCell ref="N1:Q1"/>
    <mergeCell ref="R1:R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5DF0-9C21-40B3-94F5-78FB58F1E902}">
  <dimension ref="A1:R12"/>
  <sheetViews>
    <sheetView tabSelected="1" workbookViewId="0">
      <selection activeCell="D21" sqref="D21"/>
    </sheetView>
  </sheetViews>
  <sheetFormatPr defaultRowHeight="14" x14ac:dyDescent="0.3"/>
  <cols>
    <col min="1" max="1" width="25.83203125" customWidth="1"/>
    <col min="2" max="2" width="23.4140625" customWidth="1"/>
    <col min="3" max="3" width="21.33203125" customWidth="1"/>
    <col min="4" max="6" width="11.9140625" customWidth="1"/>
    <col min="7" max="7" width="13" customWidth="1"/>
    <col min="8" max="8" width="16" customWidth="1"/>
    <col min="9" max="9" width="13.83203125" customWidth="1"/>
    <col min="10" max="10" width="12.33203125" customWidth="1"/>
    <col min="11" max="11" width="14.83203125" customWidth="1"/>
    <col min="12" max="12" width="11.83203125" customWidth="1"/>
    <col min="14" max="14" width="11.5" customWidth="1"/>
    <col min="15" max="15" width="19" customWidth="1"/>
    <col min="16" max="16" width="15.5" customWidth="1"/>
  </cols>
  <sheetData>
    <row r="1" spans="1:18" x14ac:dyDescent="0.3">
      <c r="A1" s="31" t="s">
        <v>16</v>
      </c>
      <c r="B1" s="33" t="s">
        <v>0</v>
      </c>
      <c r="C1" s="34"/>
      <c r="D1" s="34"/>
      <c r="E1" s="34"/>
      <c r="F1" s="35"/>
      <c r="G1" s="33" t="s">
        <v>1</v>
      </c>
      <c r="H1" s="34"/>
      <c r="I1" s="34"/>
      <c r="J1" s="34"/>
      <c r="K1" s="34"/>
      <c r="L1" s="34"/>
      <c r="M1" s="35"/>
      <c r="N1" s="33" t="s">
        <v>2</v>
      </c>
      <c r="O1" s="34"/>
      <c r="P1" s="34"/>
      <c r="Q1" s="35"/>
      <c r="R1" s="37" t="s">
        <v>31</v>
      </c>
    </row>
    <row r="2" spans="1:18" ht="30" customHeight="1" x14ac:dyDescent="0.3">
      <c r="A2" s="32"/>
      <c r="B2" s="8" t="s">
        <v>3</v>
      </c>
      <c r="C2" s="6" t="s">
        <v>4</v>
      </c>
      <c r="D2" s="6" t="s">
        <v>9</v>
      </c>
      <c r="E2" s="6" t="s">
        <v>34</v>
      </c>
      <c r="F2" s="7" t="s">
        <v>35</v>
      </c>
      <c r="G2" s="8" t="s">
        <v>5</v>
      </c>
      <c r="H2" s="6" t="s">
        <v>6</v>
      </c>
      <c r="I2" s="6" t="s">
        <v>7</v>
      </c>
      <c r="J2" s="6" t="s">
        <v>8</v>
      </c>
      <c r="K2" s="6" t="s">
        <v>10</v>
      </c>
      <c r="L2" s="6" t="s">
        <v>11</v>
      </c>
      <c r="M2" s="7" t="s">
        <v>32</v>
      </c>
      <c r="N2" s="8" t="s">
        <v>12</v>
      </c>
      <c r="O2" s="15" t="s">
        <v>13</v>
      </c>
      <c r="P2" s="9" t="s">
        <v>14</v>
      </c>
      <c r="Q2" s="7" t="s">
        <v>15</v>
      </c>
      <c r="R2" s="32"/>
    </row>
    <row r="3" spans="1:18" x14ac:dyDescent="0.3">
      <c r="A3" s="5" t="s">
        <v>23</v>
      </c>
      <c r="B3" s="14"/>
      <c r="C3" s="2"/>
      <c r="D3" s="2"/>
      <c r="E3" s="2"/>
      <c r="F3" s="4"/>
      <c r="G3" s="1"/>
      <c r="H3" s="2"/>
      <c r="I3" s="2"/>
      <c r="J3" s="2"/>
      <c r="K3" s="2"/>
      <c r="L3" s="2"/>
      <c r="M3" s="3"/>
      <c r="N3" s="1"/>
      <c r="O3" s="13"/>
      <c r="P3" s="2"/>
      <c r="Q3" s="3"/>
      <c r="R3" s="5">
        <f>SUM(B3:Q3)</f>
        <v>0</v>
      </c>
    </row>
    <row r="4" spans="1:18" x14ac:dyDescent="0.3">
      <c r="A4" s="5" t="s">
        <v>24</v>
      </c>
      <c r="B4" s="17">
        <v>2</v>
      </c>
      <c r="C4" s="2"/>
      <c r="D4" s="13">
        <v>4</v>
      </c>
      <c r="E4" s="13"/>
      <c r="F4" s="3"/>
      <c r="G4" s="1"/>
      <c r="H4" s="2"/>
      <c r="I4" s="19"/>
      <c r="J4" s="2"/>
      <c r="K4" s="2"/>
      <c r="L4" s="2">
        <v>3</v>
      </c>
      <c r="M4" s="3">
        <v>1</v>
      </c>
      <c r="N4" s="1">
        <v>1</v>
      </c>
      <c r="O4" s="19"/>
      <c r="P4" s="2">
        <v>1</v>
      </c>
      <c r="Q4" s="3">
        <v>1</v>
      </c>
      <c r="R4" s="5">
        <f t="shared" ref="R4:R10" si="0">SUM(B4:Q4)</f>
        <v>13</v>
      </c>
    </row>
    <row r="5" spans="1:18" x14ac:dyDescent="0.3">
      <c r="A5" s="5" t="s">
        <v>25</v>
      </c>
      <c r="B5" s="17"/>
      <c r="C5" s="2"/>
      <c r="D5" s="2"/>
      <c r="E5" s="2"/>
      <c r="F5" s="3"/>
      <c r="G5" s="1"/>
      <c r="H5" s="13">
        <v>6</v>
      </c>
      <c r="I5" s="19">
        <v>2</v>
      </c>
      <c r="J5" s="2">
        <v>2</v>
      </c>
      <c r="K5" s="2"/>
      <c r="L5" s="2"/>
      <c r="M5" s="3"/>
      <c r="N5" s="1"/>
      <c r="O5" s="13"/>
      <c r="P5" s="2"/>
      <c r="Q5" s="3"/>
      <c r="R5" s="5">
        <f t="shared" si="0"/>
        <v>10</v>
      </c>
    </row>
    <row r="6" spans="1:18" x14ac:dyDescent="0.3">
      <c r="A6" s="5" t="s">
        <v>26</v>
      </c>
      <c r="B6" s="14"/>
      <c r="C6" s="2"/>
      <c r="D6" s="2"/>
      <c r="E6" s="2"/>
      <c r="F6" s="3"/>
      <c r="G6" s="1"/>
      <c r="H6" s="2">
        <v>1</v>
      </c>
      <c r="I6" s="13">
        <v>3</v>
      </c>
      <c r="J6" s="2"/>
      <c r="K6" s="2"/>
      <c r="L6" s="2">
        <v>1</v>
      </c>
      <c r="M6" s="3"/>
      <c r="N6" s="1"/>
      <c r="O6" s="2"/>
      <c r="P6" s="2"/>
      <c r="Q6" s="3"/>
      <c r="R6" s="5">
        <f t="shared" si="0"/>
        <v>5</v>
      </c>
    </row>
    <row r="7" spans="1:18" x14ac:dyDescent="0.3">
      <c r="A7" s="5" t="s">
        <v>27</v>
      </c>
      <c r="B7" s="1"/>
      <c r="C7" s="2"/>
      <c r="D7" s="2"/>
      <c r="E7" s="2">
        <v>4</v>
      </c>
      <c r="F7" s="3"/>
      <c r="G7" s="1"/>
      <c r="H7" s="2"/>
      <c r="I7" s="2"/>
      <c r="J7" s="2"/>
      <c r="K7" s="2"/>
      <c r="L7" s="2">
        <v>8</v>
      </c>
      <c r="M7" s="3">
        <v>2</v>
      </c>
      <c r="N7" s="1"/>
      <c r="O7" s="13">
        <v>11</v>
      </c>
      <c r="P7" s="2">
        <v>1</v>
      </c>
      <c r="Q7" s="3">
        <v>1</v>
      </c>
      <c r="R7" s="5">
        <f t="shared" si="0"/>
        <v>27</v>
      </c>
    </row>
    <row r="8" spans="1:18" x14ac:dyDescent="0.3">
      <c r="A8" s="5" t="s">
        <v>28</v>
      </c>
      <c r="B8" s="1"/>
      <c r="C8" s="2"/>
      <c r="D8" s="13"/>
      <c r="E8" s="13"/>
      <c r="F8" s="3"/>
      <c r="G8" s="1"/>
      <c r="H8" s="2"/>
      <c r="I8" s="13"/>
      <c r="J8" s="2"/>
      <c r="K8" s="13"/>
      <c r="L8" s="13"/>
      <c r="M8" s="3"/>
      <c r="N8" s="1"/>
      <c r="O8" s="2"/>
      <c r="P8" s="13"/>
      <c r="Q8" s="3"/>
      <c r="R8" s="5">
        <f t="shared" si="0"/>
        <v>0</v>
      </c>
    </row>
    <row r="9" spans="1:18" x14ac:dyDescent="0.3">
      <c r="A9" s="5" t="s">
        <v>29</v>
      </c>
      <c r="B9" s="1"/>
      <c r="C9" s="2"/>
      <c r="D9" s="2"/>
      <c r="E9" s="2"/>
      <c r="F9" s="3"/>
      <c r="G9" s="1"/>
      <c r="H9" s="2"/>
      <c r="I9" s="2"/>
      <c r="J9" s="2"/>
      <c r="K9" s="2"/>
      <c r="L9" s="2"/>
      <c r="M9" s="3">
        <v>1</v>
      </c>
      <c r="N9" s="1"/>
      <c r="O9" s="2"/>
      <c r="P9" s="2"/>
      <c r="Q9" s="3"/>
      <c r="R9" s="5">
        <f t="shared" si="0"/>
        <v>1</v>
      </c>
    </row>
    <row r="10" spans="1:18" x14ac:dyDescent="0.3">
      <c r="A10" s="16" t="s">
        <v>30</v>
      </c>
      <c r="B10" s="11"/>
      <c r="C10" s="10"/>
      <c r="D10" s="10"/>
      <c r="E10" s="10">
        <v>1</v>
      </c>
      <c r="F10" s="12"/>
      <c r="G10" s="11"/>
      <c r="H10" s="10"/>
      <c r="I10" s="10"/>
      <c r="J10" s="10"/>
      <c r="K10" s="10"/>
      <c r="L10" s="10">
        <v>3</v>
      </c>
      <c r="M10" s="21">
        <v>1</v>
      </c>
      <c r="N10" s="20">
        <v>1</v>
      </c>
      <c r="O10" s="18">
        <v>6</v>
      </c>
      <c r="P10" s="10"/>
      <c r="Q10" s="12"/>
      <c r="R10" s="16">
        <f t="shared" si="0"/>
        <v>12</v>
      </c>
    </row>
    <row r="11" spans="1:18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2"/>
    </row>
    <row r="12" spans="1:18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</sheetData>
  <mergeCells count="5">
    <mergeCell ref="A1:A2"/>
    <mergeCell ref="B1:F1"/>
    <mergeCell ref="G1:M1"/>
    <mergeCell ref="N1:Q1"/>
    <mergeCell ref="R1:R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5994-36C6-480B-9486-9C819291B33D}">
  <dimension ref="A1:R8"/>
  <sheetViews>
    <sheetView workbookViewId="0">
      <selection activeCell="K7" sqref="K7"/>
    </sheetView>
  </sheetViews>
  <sheetFormatPr defaultRowHeight="14" x14ac:dyDescent="0.3"/>
  <cols>
    <col min="1" max="1" width="20" customWidth="1"/>
    <col min="2" max="2" width="21.25" customWidth="1"/>
    <col min="3" max="3" width="21.58203125" customWidth="1"/>
    <col min="4" max="5" width="13.33203125" customWidth="1"/>
    <col min="7" max="7" width="11.08203125" customWidth="1"/>
    <col min="8" max="8" width="14.75" customWidth="1"/>
    <col min="9" max="9" width="11" customWidth="1"/>
    <col min="10" max="10" width="12" customWidth="1"/>
    <col min="11" max="11" width="14.1640625" customWidth="1"/>
    <col min="12" max="12" width="8.83203125" customWidth="1"/>
    <col min="14" max="14" width="12.5" customWidth="1"/>
    <col min="15" max="15" width="18.75" customWidth="1"/>
    <col min="16" max="16" width="16.08203125" customWidth="1"/>
    <col min="17" max="17" width="8.08203125" customWidth="1"/>
  </cols>
  <sheetData>
    <row r="1" spans="1:18" x14ac:dyDescent="0.3">
      <c r="A1" s="31" t="s">
        <v>16</v>
      </c>
      <c r="B1" s="33" t="s">
        <v>0</v>
      </c>
      <c r="C1" s="34"/>
      <c r="D1" s="34"/>
      <c r="E1" s="34"/>
      <c r="F1" s="35"/>
      <c r="G1" s="33" t="s">
        <v>1</v>
      </c>
      <c r="H1" s="34"/>
      <c r="I1" s="34"/>
      <c r="J1" s="34"/>
      <c r="K1" s="34"/>
      <c r="L1" s="36"/>
      <c r="M1" s="35"/>
      <c r="N1" s="33" t="s">
        <v>2</v>
      </c>
      <c r="O1" s="34"/>
      <c r="P1" s="34"/>
      <c r="Q1" s="35"/>
      <c r="R1" s="37" t="s">
        <v>31</v>
      </c>
    </row>
    <row r="2" spans="1:18" ht="30" customHeight="1" x14ac:dyDescent="0.3">
      <c r="A2" s="32"/>
      <c r="B2" s="8" t="s">
        <v>3</v>
      </c>
      <c r="C2" s="6" t="s">
        <v>4</v>
      </c>
      <c r="D2" s="6" t="s">
        <v>9</v>
      </c>
      <c r="E2" s="6" t="s">
        <v>34</v>
      </c>
      <c r="F2" s="7" t="s">
        <v>35</v>
      </c>
      <c r="G2" s="8" t="s">
        <v>5</v>
      </c>
      <c r="H2" s="6" t="s">
        <v>6</v>
      </c>
      <c r="I2" s="6" t="s">
        <v>7</v>
      </c>
      <c r="J2" s="6" t="s">
        <v>8</v>
      </c>
      <c r="K2" s="6" t="s">
        <v>10</v>
      </c>
      <c r="L2" s="6" t="s">
        <v>11</v>
      </c>
      <c r="M2" s="7" t="s">
        <v>32</v>
      </c>
      <c r="N2" s="8" t="s">
        <v>12</v>
      </c>
      <c r="O2" s="15" t="s">
        <v>13</v>
      </c>
      <c r="P2" s="9" t="s">
        <v>14</v>
      </c>
      <c r="Q2" s="7" t="s">
        <v>15</v>
      </c>
      <c r="R2" s="32"/>
    </row>
    <row r="3" spans="1:18" x14ac:dyDescent="0.3">
      <c r="A3" s="5" t="s">
        <v>17</v>
      </c>
      <c r="B3" s="17"/>
      <c r="C3" s="2"/>
      <c r="D3" s="2"/>
      <c r="E3" s="2"/>
      <c r="F3" s="4">
        <v>2</v>
      </c>
      <c r="G3" s="1"/>
      <c r="H3" s="2">
        <v>1</v>
      </c>
      <c r="I3" s="2"/>
      <c r="J3" s="13">
        <v>3</v>
      </c>
      <c r="K3" s="2"/>
      <c r="L3" s="2"/>
      <c r="M3" s="3"/>
      <c r="N3" s="1"/>
      <c r="O3" s="19">
        <v>1</v>
      </c>
      <c r="P3" s="2"/>
      <c r="Q3" s="3"/>
      <c r="R3" s="5">
        <f>SUM(B3:Q3)</f>
        <v>7</v>
      </c>
    </row>
    <row r="4" spans="1:18" x14ac:dyDescent="0.3">
      <c r="A4" s="5" t="s">
        <v>18</v>
      </c>
      <c r="B4" s="1"/>
      <c r="C4" s="2"/>
      <c r="D4" s="2"/>
      <c r="E4" s="2"/>
      <c r="F4" s="3"/>
      <c r="G4" s="1"/>
      <c r="H4" s="2"/>
      <c r="I4" s="13"/>
      <c r="J4" s="2"/>
      <c r="K4" s="2"/>
      <c r="L4" s="2"/>
      <c r="M4" s="3"/>
      <c r="N4" s="1"/>
      <c r="O4" s="13"/>
      <c r="P4" s="2"/>
      <c r="Q4" s="3"/>
      <c r="R4" s="5">
        <f t="shared" ref="R4:R8" si="0">SUM(B4:Q4)</f>
        <v>0</v>
      </c>
    </row>
    <row r="5" spans="1:18" x14ac:dyDescent="0.3">
      <c r="A5" s="5" t="s">
        <v>19</v>
      </c>
      <c r="B5" s="14"/>
      <c r="C5" s="2"/>
      <c r="D5" s="2"/>
      <c r="E5" s="2"/>
      <c r="F5" s="3"/>
      <c r="G5" s="1"/>
      <c r="H5" s="2">
        <v>2</v>
      </c>
      <c r="I5" s="19"/>
      <c r="J5" s="2">
        <v>2</v>
      </c>
      <c r="K5" s="2"/>
      <c r="L5" s="2"/>
      <c r="M5" s="3"/>
      <c r="N5" s="1"/>
      <c r="O5" s="13">
        <v>7</v>
      </c>
      <c r="P5" s="2">
        <v>1</v>
      </c>
      <c r="Q5" s="3"/>
      <c r="R5" s="5">
        <f t="shared" si="0"/>
        <v>12</v>
      </c>
    </row>
    <row r="6" spans="1:18" x14ac:dyDescent="0.3">
      <c r="A6" s="5" t="s">
        <v>20</v>
      </c>
      <c r="B6" s="1"/>
      <c r="C6" s="2"/>
      <c r="D6" s="2"/>
      <c r="E6" s="2"/>
      <c r="F6" s="3"/>
      <c r="G6" s="1"/>
      <c r="H6" s="2"/>
      <c r="I6" s="13"/>
      <c r="J6" s="2"/>
      <c r="K6" s="2"/>
      <c r="L6" s="2"/>
      <c r="M6" s="3"/>
      <c r="N6" s="1"/>
      <c r="O6" s="2"/>
      <c r="P6" s="2"/>
      <c r="Q6" s="3"/>
      <c r="R6" s="5">
        <f t="shared" si="0"/>
        <v>0</v>
      </c>
    </row>
    <row r="7" spans="1:18" x14ac:dyDescent="0.3">
      <c r="A7" s="5" t="s">
        <v>21</v>
      </c>
      <c r="B7" s="1"/>
      <c r="C7" s="13"/>
      <c r="D7" s="2"/>
      <c r="E7" s="2"/>
      <c r="F7" s="3"/>
      <c r="G7" s="1"/>
      <c r="H7" s="2"/>
      <c r="I7" s="2"/>
      <c r="J7" s="2"/>
      <c r="K7" s="13">
        <v>1</v>
      </c>
      <c r="L7" s="13"/>
      <c r="M7" s="3"/>
      <c r="N7" s="1"/>
      <c r="O7" s="2"/>
      <c r="P7" s="2"/>
      <c r="Q7" s="3"/>
      <c r="R7" s="5">
        <f t="shared" si="0"/>
        <v>1</v>
      </c>
    </row>
    <row r="8" spans="1:18" x14ac:dyDescent="0.3">
      <c r="A8" s="16" t="s">
        <v>22</v>
      </c>
      <c r="B8" s="11"/>
      <c r="C8" s="10"/>
      <c r="D8" s="18"/>
      <c r="E8" s="18"/>
      <c r="F8" s="12"/>
      <c r="G8" s="11"/>
      <c r="H8" s="10"/>
      <c r="I8" s="10"/>
      <c r="J8" s="10"/>
      <c r="K8" s="10"/>
      <c r="L8" s="10"/>
      <c r="M8" s="12"/>
      <c r="N8" s="11"/>
      <c r="O8" s="18">
        <v>1</v>
      </c>
      <c r="P8" s="18"/>
      <c r="Q8" s="12"/>
      <c r="R8" s="16">
        <f t="shared" si="0"/>
        <v>1</v>
      </c>
    </row>
  </sheetData>
  <mergeCells count="5">
    <mergeCell ref="A1:A2"/>
    <mergeCell ref="B1:F1"/>
    <mergeCell ref="G1:M1"/>
    <mergeCell ref="N1:Q1"/>
    <mergeCell ref="R1:R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E997-ED26-42D6-8427-56827D7652D7}">
  <dimension ref="A1:R12"/>
  <sheetViews>
    <sheetView workbookViewId="0">
      <selection activeCell="F12" sqref="F12"/>
    </sheetView>
  </sheetViews>
  <sheetFormatPr defaultRowHeight="14" x14ac:dyDescent="0.3"/>
  <cols>
    <col min="1" max="1" width="25.83203125" customWidth="1"/>
    <col min="2" max="2" width="23.4140625" customWidth="1"/>
    <col min="3" max="3" width="21.33203125" customWidth="1"/>
    <col min="4" max="6" width="11.9140625" customWidth="1"/>
    <col min="7" max="7" width="13" customWidth="1"/>
    <col min="8" max="8" width="16" customWidth="1"/>
    <col min="9" max="9" width="13.83203125" customWidth="1"/>
    <col min="10" max="10" width="12.33203125" customWidth="1"/>
    <col min="11" max="11" width="14.83203125" customWidth="1"/>
    <col min="12" max="12" width="11.83203125" customWidth="1"/>
    <col min="14" max="14" width="11.5" customWidth="1"/>
    <col min="15" max="15" width="19" customWidth="1"/>
    <col min="16" max="16" width="15.5" customWidth="1"/>
  </cols>
  <sheetData>
    <row r="1" spans="1:18" x14ac:dyDescent="0.3">
      <c r="A1" s="31" t="s">
        <v>16</v>
      </c>
      <c r="B1" s="33" t="s">
        <v>0</v>
      </c>
      <c r="C1" s="34"/>
      <c r="D1" s="34"/>
      <c r="E1" s="34"/>
      <c r="F1" s="35"/>
      <c r="G1" s="33" t="s">
        <v>1</v>
      </c>
      <c r="H1" s="34"/>
      <c r="I1" s="34"/>
      <c r="J1" s="34"/>
      <c r="K1" s="34"/>
      <c r="L1" s="34"/>
      <c r="M1" s="35"/>
      <c r="N1" s="33" t="s">
        <v>2</v>
      </c>
      <c r="O1" s="34"/>
      <c r="P1" s="34"/>
      <c r="Q1" s="35"/>
      <c r="R1" s="37" t="s">
        <v>31</v>
      </c>
    </row>
    <row r="2" spans="1:18" ht="30" customHeight="1" x14ac:dyDescent="0.3">
      <c r="A2" s="32"/>
      <c r="B2" s="8" t="s">
        <v>3</v>
      </c>
      <c r="C2" s="6" t="s">
        <v>4</v>
      </c>
      <c r="D2" s="6" t="s">
        <v>9</v>
      </c>
      <c r="E2" s="6" t="s">
        <v>34</v>
      </c>
      <c r="F2" s="7" t="s">
        <v>35</v>
      </c>
      <c r="G2" s="8" t="s">
        <v>5</v>
      </c>
      <c r="H2" s="6" t="s">
        <v>6</v>
      </c>
      <c r="I2" s="6" t="s">
        <v>7</v>
      </c>
      <c r="J2" s="6" t="s">
        <v>8</v>
      </c>
      <c r="K2" s="6" t="s">
        <v>10</v>
      </c>
      <c r="L2" s="6" t="s">
        <v>11</v>
      </c>
      <c r="M2" s="7" t="s">
        <v>32</v>
      </c>
      <c r="N2" s="8" t="s">
        <v>12</v>
      </c>
      <c r="O2" s="15" t="s">
        <v>13</v>
      </c>
      <c r="P2" s="9" t="s">
        <v>14</v>
      </c>
      <c r="Q2" s="7" t="s">
        <v>15</v>
      </c>
      <c r="R2" s="32"/>
    </row>
    <row r="3" spans="1:18" x14ac:dyDescent="0.3">
      <c r="A3" s="5" t="s">
        <v>23</v>
      </c>
      <c r="B3" s="14"/>
      <c r="C3" s="2"/>
      <c r="D3" s="2"/>
      <c r="E3" s="2"/>
      <c r="F3" s="4"/>
      <c r="G3" s="1"/>
      <c r="H3" s="2"/>
      <c r="I3" s="2"/>
      <c r="J3" s="2"/>
      <c r="K3" s="2"/>
      <c r="L3" s="2"/>
      <c r="M3" s="3"/>
      <c r="N3" s="1"/>
      <c r="O3" s="13"/>
      <c r="P3" s="2"/>
      <c r="Q3" s="3"/>
      <c r="R3" s="5">
        <f>SUM(B3:Q3)</f>
        <v>0</v>
      </c>
    </row>
    <row r="4" spans="1:18" x14ac:dyDescent="0.3">
      <c r="A4" s="5" t="s">
        <v>24</v>
      </c>
      <c r="B4" s="17"/>
      <c r="C4" s="2"/>
      <c r="D4" s="13"/>
      <c r="E4" s="13"/>
      <c r="F4" s="3"/>
      <c r="G4" s="1"/>
      <c r="H4" s="2">
        <v>1</v>
      </c>
      <c r="I4" s="19"/>
      <c r="J4" s="13">
        <v>2</v>
      </c>
      <c r="K4" s="2"/>
      <c r="L4" s="2"/>
      <c r="M4" s="3"/>
      <c r="N4" s="1"/>
      <c r="O4" s="19"/>
      <c r="P4" s="2"/>
      <c r="Q4" s="3"/>
      <c r="R4" s="5">
        <f t="shared" ref="R4:R10" si="0">SUM(B4:Q4)</f>
        <v>3</v>
      </c>
    </row>
    <row r="5" spans="1:18" x14ac:dyDescent="0.3">
      <c r="A5" s="5" t="s">
        <v>25</v>
      </c>
      <c r="B5" s="17"/>
      <c r="C5" s="2"/>
      <c r="D5" s="2"/>
      <c r="E5" s="2"/>
      <c r="F5" s="3"/>
      <c r="G5" s="1"/>
      <c r="H5" s="13"/>
      <c r="I5" s="19"/>
      <c r="J5" s="2"/>
      <c r="K5" s="13">
        <v>1</v>
      </c>
      <c r="L5" s="2"/>
      <c r="M5" s="3"/>
      <c r="N5" s="1"/>
      <c r="O5" s="13"/>
      <c r="P5" s="2"/>
      <c r="Q5" s="3"/>
      <c r="R5" s="5">
        <f t="shared" si="0"/>
        <v>1</v>
      </c>
    </row>
    <row r="6" spans="1:18" x14ac:dyDescent="0.3">
      <c r="A6" s="5" t="s">
        <v>26</v>
      </c>
      <c r="B6" s="14"/>
      <c r="C6" s="2"/>
      <c r="D6" s="2"/>
      <c r="E6" s="2"/>
      <c r="F6" s="3"/>
      <c r="G6" s="1"/>
      <c r="H6" s="2">
        <v>2</v>
      </c>
      <c r="I6" s="13"/>
      <c r="J6" s="13">
        <v>3</v>
      </c>
      <c r="K6" s="2"/>
      <c r="L6" s="2"/>
      <c r="M6" s="3"/>
      <c r="N6" s="1"/>
      <c r="O6" s="13">
        <v>3</v>
      </c>
      <c r="P6" s="2">
        <v>1</v>
      </c>
      <c r="Q6" s="3"/>
      <c r="R6" s="5">
        <f t="shared" si="0"/>
        <v>9</v>
      </c>
    </row>
    <row r="7" spans="1:18" x14ac:dyDescent="0.3">
      <c r="A7" s="5" t="s">
        <v>27</v>
      </c>
      <c r="B7" s="1"/>
      <c r="C7" s="2"/>
      <c r="D7" s="2"/>
      <c r="E7" s="2"/>
      <c r="F7" s="3"/>
      <c r="G7" s="1"/>
      <c r="H7" s="2"/>
      <c r="I7" s="2"/>
      <c r="J7" s="2"/>
      <c r="K7" s="2"/>
      <c r="L7" s="2"/>
      <c r="M7" s="3"/>
      <c r="N7" s="1"/>
      <c r="O7" s="13"/>
      <c r="P7" s="2"/>
      <c r="Q7" s="3"/>
      <c r="R7" s="5">
        <f t="shared" si="0"/>
        <v>0</v>
      </c>
    </row>
    <row r="8" spans="1:18" x14ac:dyDescent="0.3">
      <c r="A8" s="5" t="s">
        <v>28</v>
      </c>
      <c r="B8" s="1"/>
      <c r="C8" s="2"/>
      <c r="D8" s="13"/>
      <c r="E8" s="13"/>
      <c r="F8" s="3"/>
      <c r="G8" s="1"/>
      <c r="H8" s="2"/>
      <c r="I8" s="13"/>
      <c r="J8" s="2"/>
      <c r="K8" s="13"/>
      <c r="L8" s="13"/>
      <c r="M8" s="3"/>
      <c r="N8" s="1"/>
      <c r="O8" s="2"/>
      <c r="P8" s="13"/>
      <c r="Q8" s="3"/>
      <c r="R8" s="5">
        <f t="shared" si="0"/>
        <v>0</v>
      </c>
    </row>
    <row r="9" spans="1:18" x14ac:dyDescent="0.3">
      <c r="A9" s="5" t="s">
        <v>29</v>
      </c>
      <c r="B9" s="1"/>
      <c r="C9" s="2"/>
      <c r="D9" s="2"/>
      <c r="E9" s="2"/>
      <c r="F9" s="3"/>
      <c r="G9" s="1"/>
      <c r="H9" s="2"/>
      <c r="I9" s="2"/>
      <c r="J9" s="2"/>
      <c r="K9" s="2"/>
      <c r="L9" s="2"/>
      <c r="M9" s="3"/>
      <c r="N9" s="1"/>
      <c r="O9" s="2"/>
      <c r="P9" s="2"/>
      <c r="Q9" s="3"/>
      <c r="R9" s="5">
        <f t="shared" si="0"/>
        <v>0</v>
      </c>
    </row>
    <row r="10" spans="1:18" x14ac:dyDescent="0.3">
      <c r="A10" s="16" t="s">
        <v>30</v>
      </c>
      <c r="B10" s="11"/>
      <c r="C10" s="10"/>
      <c r="D10" s="10"/>
      <c r="E10" s="10"/>
      <c r="F10" s="12">
        <v>2</v>
      </c>
      <c r="G10" s="11"/>
      <c r="H10" s="10"/>
      <c r="I10" s="10"/>
      <c r="J10" s="10"/>
      <c r="K10" s="10"/>
      <c r="L10" s="10"/>
      <c r="M10" s="21"/>
      <c r="N10" s="20"/>
      <c r="O10" s="18">
        <v>6</v>
      </c>
      <c r="P10" s="10"/>
      <c r="Q10" s="12"/>
      <c r="R10" s="16">
        <f t="shared" si="0"/>
        <v>8</v>
      </c>
    </row>
    <row r="11" spans="1:18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2"/>
    </row>
    <row r="12" spans="1:18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</sheetData>
  <mergeCells count="5">
    <mergeCell ref="A1:A2"/>
    <mergeCell ref="B1:F1"/>
    <mergeCell ref="G1:M1"/>
    <mergeCell ref="N1:Q1"/>
    <mergeCell ref="R1:R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location &amp; symptom (sum)</vt:lpstr>
      <vt:lpstr>location &amp; root cause (sum)</vt:lpstr>
      <vt:lpstr>location &amp; sympton (survey)</vt:lpstr>
      <vt:lpstr>location &amp; root cause (survey)</vt:lpstr>
      <vt:lpstr>location &amp; sympton (github)</vt:lpstr>
      <vt:lpstr>location &amp; root cause (github)</vt:lpstr>
      <vt:lpstr>location &amp; sympton (conference)</vt:lpstr>
      <vt:lpstr>location &amp; root cause (confere)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李苏菀</dc:creator>
  <cp:lastModifiedBy>苏菀 李</cp:lastModifiedBy>
  <dcterms:created xsi:type="dcterms:W3CDTF">2015-06-05T18:19:34Z</dcterms:created>
  <dcterms:modified xsi:type="dcterms:W3CDTF">2026-06-18T15:31:08Z</dcterms:modified>
</cp:coreProperties>
</file>