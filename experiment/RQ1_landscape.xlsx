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research\7-MATester\agents\MATester\experiment\"/>
    </mc:Choice>
  </mc:AlternateContent>
  <xr:revisionPtr revIDLastSave="0" documentId="13_ncr:1_{89790340-57CD-4ABE-B92C-9FD3B9A9A4E9}" xr6:coauthVersionLast="47" xr6:coauthVersionMax="47" xr10:uidLastSave="{00000000-0000-0000-0000-000000000000}"/>
  <bookViews>
    <workbookView xWindow="-110" yWindow="-110" windowWidth="25820" windowHeight="15500" firstSheet="1" activeTab="7" xr2:uid="{00000000-000D-0000-FFFF-FFFF00000000}"/>
  </bookViews>
  <sheets>
    <sheet name="data selection" sheetId="1" r:id="rId1"/>
    <sheet name="issue types" sheetId="2" r:id="rId2"/>
    <sheet name="symptom(total)" sheetId="4" r:id="rId3"/>
    <sheet name="symptom(agent num)" sheetId="6" r:id="rId4"/>
    <sheet name="location" sheetId="3" r:id="rId5"/>
    <sheet name="location(agent num)" sheetId="7" r:id="rId6"/>
    <sheet name="root cause" sheetId="5" r:id="rId7"/>
    <sheet name="root cause (agent num)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8" l="1"/>
  <c r="I6" i="8"/>
  <c r="H6" i="8"/>
  <c r="G6" i="8"/>
  <c r="F6" i="8"/>
  <c r="E6" i="8"/>
  <c r="D6" i="8"/>
  <c r="C6" i="8"/>
  <c r="B6" i="8"/>
  <c r="K5" i="8"/>
  <c r="I5" i="8"/>
  <c r="H5" i="8"/>
  <c r="G5" i="8"/>
  <c r="F5" i="8"/>
  <c r="E5" i="8"/>
  <c r="D5" i="8"/>
  <c r="C5" i="8"/>
  <c r="B5" i="8"/>
  <c r="J4" i="8"/>
  <c r="J3" i="8"/>
  <c r="J2" i="8"/>
  <c r="U9" i="7"/>
  <c r="P9" i="7"/>
  <c r="L9" i="7"/>
  <c r="J9" i="7"/>
  <c r="B9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D8" i="7"/>
  <c r="C8" i="7"/>
  <c r="B8" i="7"/>
  <c r="Z7" i="7"/>
  <c r="Z8" i="7" s="1"/>
  <c r="X7" i="7"/>
  <c r="X8" i="7" s="1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E8" i="7" s="1"/>
  <c r="E9" i="7" s="1"/>
  <c r="D7" i="7"/>
  <c r="C7" i="7"/>
  <c r="B7" i="7"/>
  <c r="Y6" i="7"/>
  <c r="Y5" i="7"/>
  <c r="Y4" i="7"/>
  <c r="B5" i="6"/>
  <c r="B6" i="6" s="1"/>
  <c r="C5" i="6"/>
  <c r="G6" i="6"/>
  <c r="F6" i="6"/>
  <c r="E6" i="6"/>
  <c r="D6" i="6"/>
  <c r="C6" i="6"/>
  <c r="I5" i="6"/>
  <c r="D5" i="6"/>
  <c r="E5" i="6"/>
  <c r="F5" i="6"/>
  <c r="G5" i="6"/>
  <c r="C5" i="5"/>
  <c r="D5" i="5"/>
  <c r="E5" i="5"/>
  <c r="F5" i="5"/>
  <c r="G5" i="5"/>
  <c r="H5" i="5"/>
  <c r="I5" i="5"/>
  <c r="B5" i="5"/>
  <c r="T8" i="3"/>
  <c r="I7" i="3"/>
  <c r="J7" i="3"/>
  <c r="K7" i="3"/>
  <c r="L7" i="3"/>
  <c r="M7" i="3"/>
  <c r="N7" i="3"/>
  <c r="O7" i="3"/>
  <c r="P7" i="3"/>
  <c r="I8" i="3" s="1"/>
  <c r="Q7" i="3"/>
  <c r="R7" i="3"/>
  <c r="S7" i="3"/>
  <c r="T7" i="3"/>
  <c r="U7" i="3"/>
  <c r="V7" i="3"/>
  <c r="W7" i="3"/>
  <c r="X7" i="3"/>
  <c r="C7" i="3"/>
  <c r="D7" i="3"/>
  <c r="E7" i="3"/>
  <c r="B8" i="3" s="1"/>
  <c r="F7" i="3"/>
  <c r="G7" i="3"/>
  <c r="H7" i="3"/>
  <c r="B7" i="3"/>
  <c r="C5" i="4"/>
  <c r="D5" i="4"/>
  <c r="E5" i="4"/>
  <c r="F5" i="4"/>
  <c r="G5" i="4"/>
  <c r="H5" i="4"/>
  <c r="B5" i="4"/>
  <c r="K5" i="2"/>
  <c r="D5" i="2"/>
  <c r="E5" i="2"/>
  <c r="F5" i="2"/>
  <c r="G5" i="2"/>
  <c r="H5" i="2"/>
  <c r="I5" i="2"/>
  <c r="J5" i="2"/>
  <c r="C5" i="2"/>
  <c r="B5" i="2"/>
  <c r="K4" i="2"/>
  <c r="K2" i="2"/>
  <c r="K3" i="2"/>
  <c r="C5" i="1"/>
  <c r="D5" i="1"/>
  <c r="B5" i="1"/>
  <c r="J4" i="5"/>
  <c r="Y6" i="3"/>
  <c r="H4" i="4"/>
  <c r="J3" i="5"/>
  <c r="Y5" i="3"/>
  <c r="H3" i="4"/>
  <c r="J2" i="5"/>
  <c r="Y4" i="3"/>
  <c r="H2" i="4"/>
</calcChain>
</file>

<file path=xl/sharedStrings.xml><?xml version="1.0" encoding="utf-8"?>
<sst xmlns="http://schemas.openxmlformats.org/spreadsheetml/2006/main" count="152" uniqueCount="72">
  <si>
    <t>survey</t>
    <phoneticPr fontId="1" type="noConversion"/>
  </si>
  <si>
    <t>github</t>
    <phoneticPr fontId="1" type="noConversion"/>
  </si>
  <si>
    <t>raw issues / pull requests</t>
    <phoneticPr fontId="1" type="noConversion"/>
  </si>
  <si>
    <t xml:space="preserve"> true issues</t>
    <phoneticPr fontId="1" type="noConversion"/>
  </si>
  <si>
    <t xml:space="preserve"> functionality issues</t>
    <phoneticPr fontId="1" type="noConversion"/>
  </si>
  <si>
    <t xml:space="preserve"> dependency issue</t>
  </si>
  <si>
    <t xml:space="preserve"> functionality issue (not agent)</t>
  </si>
  <si>
    <t>1.1.1</t>
  </si>
  <si>
    <t xml:space="preserve"> 1.1.2</t>
  </si>
  <si>
    <t xml:space="preserve"> 1.1.3</t>
  </si>
  <si>
    <t xml:space="preserve"> 1.2.1</t>
  </si>
  <si>
    <t xml:space="preserve"> 1.2.2</t>
  </si>
  <si>
    <t xml:space="preserve"> 2.2.1</t>
  </si>
  <si>
    <t xml:space="preserve"> 2.2.2</t>
  </si>
  <si>
    <t xml:space="preserve"> 2.3.1</t>
  </si>
  <si>
    <t xml:space="preserve"> 2.3.2</t>
  </si>
  <si>
    <t xml:space="preserve"> 2.3.3</t>
  </si>
  <si>
    <t xml:space="preserve"> 2.5.1</t>
  </si>
  <si>
    <t xml:space="preserve"> 2.5.2</t>
  </si>
  <si>
    <t xml:space="preserve"> 3.2.1</t>
  </si>
  <si>
    <t xml:space="preserve"> 3.2.2</t>
  </si>
  <si>
    <t>total</t>
    <phoneticPr fontId="1" type="noConversion"/>
  </si>
  <si>
    <t>Perception</t>
    <phoneticPr fontId="1" type="noConversion"/>
  </si>
  <si>
    <t>Planner</t>
    <phoneticPr fontId="1" type="noConversion"/>
  </si>
  <si>
    <t>Executor</t>
    <phoneticPr fontId="1" type="noConversion"/>
  </si>
  <si>
    <t>snapshot &amp; environment
inconsistent</t>
    <phoneticPr fontId="1" type="noConversion"/>
  </si>
  <si>
    <t>snapshot &amp; environment
unstable</t>
    <phoneticPr fontId="1" type="noConversion"/>
  </si>
  <si>
    <t>plan
contradictory</t>
    <phoneticPr fontId="1" type="noConversion"/>
  </si>
  <si>
    <t>plan &amp; snapshot
unsatisfied</t>
    <phoneticPr fontId="1" type="noConversion"/>
  </si>
  <si>
    <t>plan &amp; task
irrelevant</t>
    <phoneticPr fontId="1" type="noConversion"/>
  </si>
  <si>
    <t>plan
wrong format</t>
    <phoneticPr fontId="1" type="noConversion"/>
  </si>
  <si>
    <t>snapshot
wrong format</t>
    <phoneticPr fontId="1" type="noConversion"/>
  </si>
  <si>
    <t>plan &amp; snapshot
unstable</t>
    <phoneticPr fontId="1" type="noConversion"/>
  </si>
  <si>
    <t>plan
missing</t>
    <phoneticPr fontId="1" type="noConversion"/>
  </si>
  <si>
    <t>snapshot
missing</t>
    <phoneticPr fontId="1" type="noConversion"/>
  </si>
  <si>
    <t>action &amp; plan
inconsistent</t>
    <phoneticPr fontId="1" type="noConversion"/>
  </si>
  <si>
    <t>action &amp; environment
unapplicable</t>
    <phoneticPr fontId="1" type="noConversion"/>
  </si>
  <si>
    <t>reflection &amp; action
inconsistent</t>
    <phoneticPr fontId="1" type="noConversion"/>
  </si>
  <si>
    <t>action
missing</t>
    <phoneticPr fontId="1" type="noConversion"/>
  </si>
  <si>
    <t>type</t>
    <phoneticPr fontId="1" type="noConversion"/>
  </si>
  <si>
    <t>crash</t>
    <phoneticPr fontId="1" type="noConversion"/>
  </si>
  <si>
    <t>hang</t>
    <phoneticPr fontId="1" type="noConversion"/>
  </si>
  <si>
    <t>misbehave</t>
    <phoneticPr fontId="1" type="noConversion"/>
  </si>
  <si>
    <t>stop without completing</t>
    <phoneticPr fontId="1" type="noConversion"/>
  </si>
  <si>
    <t>behave inconsistently</t>
    <phoneticPr fontId="1" type="noConversion"/>
  </si>
  <si>
    <t>wrong user feedback</t>
    <phoneticPr fontId="1" type="noConversion"/>
  </si>
  <si>
    <t>atomicity break</t>
    <phoneticPr fontId="1" type="noConversion"/>
  </si>
  <si>
    <t>lack of corner case handling</t>
    <phoneticPr fontId="1" type="noConversion"/>
  </si>
  <si>
    <t>hallucination</t>
    <phoneticPr fontId="1" type="noConversion"/>
  </si>
  <si>
    <t>unsuitable llm parameters</t>
    <phoneticPr fontId="1" type="noConversion"/>
  </si>
  <si>
    <t>lack of error handling</t>
    <phoneticPr fontId="1" type="noConversion"/>
  </si>
  <si>
    <t>lack of memory storage</t>
  </si>
  <si>
    <t>variables not correctly updated</t>
    <phoneticPr fontId="1" type="noConversion"/>
  </si>
  <si>
    <t>other</t>
    <phoneticPr fontId="1" type="noConversion"/>
  </si>
  <si>
    <t>functionality issue</t>
    <phoneticPr fontId="1" type="noConversion"/>
  </si>
  <si>
    <t>conference</t>
    <phoneticPr fontId="1" type="noConversion"/>
  </si>
  <si>
    <t>21/21</t>
    <phoneticPr fontId="1" type="noConversion"/>
  </si>
  <si>
    <t>61/68</t>
    <phoneticPr fontId="1" type="noConversion"/>
  </si>
  <si>
    <t>prompt
wrong</t>
    <phoneticPr fontId="1" type="noConversion"/>
  </si>
  <si>
    <t>non-functionality issue</t>
    <phoneticPr fontId="1" type="noConversion"/>
  </si>
  <si>
    <t xml:space="preserve"> version compatibility issue</t>
    <phoneticPr fontId="1" type="noConversion"/>
  </si>
  <si>
    <t xml:space="preserve"> cross-system compatibility issue</t>
    <phoneticPr fontId="1" type="noConversion"/>
  </si>
  <si>
    <t xml:space="preserve"> configuration issue</t>
    <phoneticPr fontId="1" type="noConversion"/>
  </si>
  <si>
    <t xml:space="preserve"> usage issue</t>
    <phoneticPr fontId="1" type="noConversion"/>
  </si>
  <si>
    <t xml:space="preserve"> import issue</t>
    <phoneticPr fontId="1" type="noConversion"/>
  </si>
  <si>
    <t xml:space="preserve"> not an issue</t>
    <phoneticPr fontId="1" type="noConversion"/>
  </si>
  <si>
    <t>48/69</t>
    <phoneticPr fontId="1" type="noConversion"/>
  </si>
  <si>
    <t>agent count</t>
    <phoneticPr fontId="1" type="noConversion"/>
  </si>
  <si>
    <t>agent num</t>
    <phoneticPr fontId="1" type="noConversion"/>
  </si>
  <si>
    <t>action &amp; environment
inapplicable</t>
    <phoneticPr fontId="1" type="noConversion"/>
  </si>
  <si>
    <t>sum</t>
    <phoneticPr fontId="1" type="noConversion"/>
  </si>
  <si>
    <t>percentage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</si>
</sst>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3" xfId="0" applyFill="1" applyBorder="1"/>
    <xf numFmtId="0" fontId="0" fillId="0" borderId="2" xfId="0" applyBorder="1"/>
    <xf numFmtId="0" fontId="0" fillId="0" borderId="5" xfId="0" applyBorder="1"/>
    <xf numFmtId="0" fontId="0" fillId="0" borderId="4" xfId="0" applyBorder="1"/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Fill="1" applyBorder="1" applyAlignment="1">
      <alignment horizontal="center"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0" xfId="0" applyFont="1" applyBorder="1"/>
    <xf numFmtId="0" fontId="2" fillId="0" borderId="1" xfId="0" applyFont="1" applyBorder="1"/>
    <xf numFmtId="0" fontId="2" fillId="0" borderId="5" xfId="0" applyFont="1" applyBorder="1"/>
    <xf numFmtId="0" fontId="3" fillId="0" borderId="0" xfId="0" applyFont="1"/>
    <xf numFmtId="0" fontId="0" fillId="0" borderId="9" xfId="0" applyBorder="1" applyAlignment="1">
      <alignment horizontal="center" wrapText="1"/>
    </xf>
    <xf numFmtId="0" fontId="3" fillId="0" borderId="0" xfId="0" applyFont="1" applyBorder="1"/>
    <xf numFmtId="0" fontId="0" fillId="0" borderId="0" xfId="0" applyFill="1" applyBorder="1"/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zoomScale="147" workbookViewId="0">
      <selection activeCell="E7" sqref="E7"/>
    </sheetView>
  </sheetViews>
  <sheetFormatPr defaultRowHeight="14" x14ac:dyDescent="0.3"/>
  <cols>
    <col min="1" max="1" width="17.4140625" customWidth="1"/>
    <col min="2" max="2" width="21.9140625" customWidth="1"/>
    <col min="3" max="3" width="12.4140625" customWidth="1"/>
    <col min="4" max="4" width="17.6640625" customWidth="1"/>
    <col min="5" max="5" width="24.6640625" customWidth="1"/>
  </cols>
  <sheetData>
    <row r="1" spans="1:4" x14ac:dyDescent="0.3">
      <c r="B1" t="s">
        <v>2</v>
      </c>
      <c r="C1" t="s">
        <v>3</v>
      </c>
      <c r="D1" t="s">
        <v>4</v>
      </c>
    </row>
    <row r="2" spans="1:4" x14ac:dyDescent="0.3">
      <c r="A2" t="s">
        <v>0</v>
      </c>
      <c r="B2">
        <v>478</v>
      </c>
      <c r="C2">
        <v>167</v>
      </c>
      <c r="D2">
        <v>48</v>
      </c>
    </row>
    <row r="3" spans="1:4" x14ac:dyDescent="0.3">
      <c r="A3" t="s">
        <v>1</v>
      </c>
      <c r="B3">
        <v>649</v>
      </c>
      <c r="C3">
        <v>174</v>
      </c>
      <c r="D3">
        <v>61</v>
      </c>
    </row>
    <row r="4" spans="1:4" x14ac:dyDescent="0.3">
      <c r="A4" t="s">
        <v>55</v>
      </c>
      <c r="B4">
        <v>141</v>
      </c>
      <c r="C4">
        <v>71</v>
      </c>
      <c r="D4">
        <v>21</v>
      </c>
    </row>
    <row r="5" spans="1:4" x14ac:dyDescent="0.3">
      <c r="B5">
        <f>SUM(B2:B4)</f>
        <v>1268</v>
      </c>
      <c r="C5">
        <f t="shared" ref="C5:D5" si="0">SUM(C2:C4)</f>
        <v>412</v>
      </c>
      <c r="D5">
        <f t="shared" si="0"/>
        <v>130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095E-B54D-4CC5-B745-F1F415455638}">
  <dimension ref="A1:K5"/>
  <sheetViews>
    <sheetView zoomScale="90" zoomScaleNormal="166" workbookViewId="0">
      <selection activeCell="C31" sqref="C31"/>
    </sheetView>
  </sheetViews>
  <sheetFormatPr defaultRowHeight="14" x14ac:dyDescent="0.3"/>
  <cols>
    <col min="1" max="1" width="9.75" customWidth="1"/>
    <col min="2" max="2" width="15.83203125" customWidth="1"/>
    <col min="3" max="3" width="25.5" customWidth="1"/>
    <col min="4" max="4" width="16.6640625" customWidth="1"/>
    <col min="5" max="5" width="27.9140625" customWidth="1"/>
    <col min="6" max="6" width="17.33203125" customWidth="1"/>
    <col min="7" max="7" width="12.5" customWidth="1"/>
    <col min="8" max="8" width="22.9140625" customWidth="1"/>
    <col min="9" max="9" width="12.9140625" customWidth="1"/>
    <col min="10" max="10" width="12.4140625" customWidth="1"/>
    <col min="11" max="11" width="14.4140625" customWidth="1"/>
  </cols>
  <sheetData>
    <row r="1" spans="1:11" x14ac:dyDescent="0.3">
      <c r="B1" t="s">
        <v>54</v>
      </c>
      <c r="C1" t="s">
        <v>6</v>
      </c>
      <c r="D1" t="s">
        <v>5</v>
      </c>
      <c r="E1" t="s">
        <v>61</v>
      </c>
      <c r="F1" t="s">
        <v>62</v>
      </c>
      <c r="G1" t="s">
        <v>63</v>
      </c>
      <c r="H1" t="s">
        <v>60</v>
      </c>
      <c r="I1" t="s">
        <v>64</v>
      </c>
      <c r="J1" t="s">
        <v>65</v>
      </c>
      <c r="K1" t="s">
        <v>59</v>
      </c>
    </row>
    <row r="2" spans="1:11" x14ac:dyDescent="0.3">
      <c r="A2" t="s">
        <v>0</v>
      </c>
      <c r="B2" s="1" t="s">
        <v>66</v>
      </c>
      <c r="C2">
        <v>0</v>
      </c>
      <c r="D2">
        <v>39</v>
      </c>
      <c r="E2">
        <v>15</v>
      </c>
      <c r="F2">
        <v>36</v>
      </c>
      <c r="G2">
        <v>5</v>
      </c>
      <c r="H2">
        <v>4</v>
      </c>
      <c r="I2">
        <v>3</v>
      </c>
      <c r="J2">
        <v>17</v>
      </c>
      <c r="K2">
        <f>SUM(C2:J2)</f>
        <v>119</v>
      </c>
    </row>
    <row r="3" spans="1:11" x14ac:dyDescent="0.3">
      <c r="A3" t="s">
        <v>1</v>
      </c>
      <c r="B3" s="1" t="s">
        <v>57</v>
      </c>
      <c r="C3">
        <v>28</v>
      </c>
      <c r="D3">
        <v>12</v>
      </c>
      <c r="E3">
        <v>8</v>
      </c>
      <c r="F3">
        <v>9</v>
      </c>
      <c r="G3">
        <v>2</v>
      </c>
      <c r="H3">
        <v>6</v>
      </c>
      <c r="I3">
        <v>4</v>
      </c>
      <c r="J3">
        <v>44</v>
      </c>
      <c r="K3">
        <f>SUM(C3:J3)</f>
        <v>113</v>
      </c>
    </row>
    <row r="4" spans="1:11" x14ac:dyDescent="0.3">
      <c r="A4" t="s">
        <v>55</v>
      </c>
      <c r="B4" s="1" t="s">
        <v>56</v>
      </c>
      <c r="C4">
        <v>0</v>
      </c>
      <c r="D4">
        <v>6</v>
      </c>
      <c r="E4">
        <v>5</v>
      </c>
      <c r="F4">
        <v>0</v>
      </c>
      <c r="G4">
        <v>5</v>
      </c>
      <c r="H4">
        <v>14</v>
      </c>
      <c r="I4">
        <v>18</v>
      </c>
      <c r="J4">
        <v>2</v>
      </c>
      <c r="K4">
        <f>SUM(C4:J4)</f>
        <v>50</v>
      </c>
    </row>
    <row r="5" spans="1:11" x14ac:dyDescent="0.3">
      <c r="A5" t="s">
        <v>70</v>
      </c>
      <c r="B5">
        <f>48+61+21</f>
        <v>130</v>
      </c>
      <c r="C5">
        <f>SUM(C2:C4)</f>
        <v>28</v>
      </c>
      <c r="D5">
        <f t="shared" ref="D5:J5" si="0">SUM(D2:D4)</f>
        <v>57</v>
      </c>
      <c r="E5">
        <f t="shared" si="0"/>
        <v>28</v>
      </c>
      <c r="F5">
        <f t="shared" si="0"/>
        <v>45</v>
      </c>
      <c r="G5">
        <f t="shared" si="0"/>
        <v>12</v>
      </c>
      <c r="H5">
        <f t="shared" si="0"/>
        <v>24</v>
      </c>
      <c r="I5">
        <f t="shared" si="0"/>
        <v>25</v>
      </c>
      <c r="J5">
        <f t="shared" si="0"/>
        <v>63</v>
      </c>
      <c r="K5">
        <f>SUM(K2:K4)</f>
        <v>282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986B7-7F3B-4EF8-AB09-54D47E6F6A80}">
  <dimension ref="A1:H5"/>
  <sheetViews>
    <sheetView zoomScale="117" workbookViewId="0">
      <selection activeCell="B5" sqref="B5"/>
    </sheetView>
  </sheetViews>
  <sheetFormatPr defaultRowHeight="14" x14ac:dyDescent="0.3"/>
  <cols>
    <col min="3" max="3" width="7.4140625" customWidth="1"/>
    <col min="4" max="4" width="9.6640625" customWidth="1"/>
    <col min="5" max="5" width="21.25" customWidth="1"/>
    <col min="6" max="6" width="18.33203125" customWidth="1"/>
    <col min="7" max="7" width="17.9140625" customWidth="1"/>
  </cols>
  <sheetData>
    <row r="1" spans="1:8" x14ac:dyDescent="0.3"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21</v>
      </c>
    </row>
    <row r="2" spans="1:8" x14ac:dyDescent="0.3">
      <c r="A2" t="s">
        <v>0</v>
      </c>
      <c r="B2" s="1">
        <v>32</v>
      </c>
      <c r="C2">
        <v>1</v>
      </c>
      <c r="D2" s="19">
        <v>28</v>
      </c>
      <c r="E2">
        <v>2</v>
      </c>
      <c r="F2">
        <v>4</v>
      </c>
      <c r="G2">
        <v>2</v>
      </c>
      <c r="H2">
        <f>SUM(B2:G2)</f>
        <v>69</v>
      </c>
    </row>
    <row r="3" spans="1:8" x14ac:dyDescent="0.3">
      <c r="A3" t="s">
        <v>1</v>
      </c>
      <c r="B3" s="1">
        <v>44</v>
      </c>
      <c r="C3">
        <v>4</v>
      </c>
      <c r="D3">
        <v>18</v>
      </c>
      <c r="E3">
        <v>1</v>
      </c>
      <c r="F3">
        <v>0</v>
      </c>
      <c r="G3">
        <v>1</v>
      </c>
      <c r="H3">
        <f>SUM(B3:G3)</f>
        <v>68</v>
      </c>
    </row>
    <row r="4" spans="1:8" x14ac:dyDescent="0.3">
      <c r="A4" t="s">
        <v>55</v>
      </c>
      <c r="B4">
        <v>7</v>
      </c>
      <c r="C4">
        <v>0</v>
      </c>
      <c r="D4" s="1">
        <v>12</v>
      </c>
      <c r="E4">
        <v>0</v>
      </c>
      <c r="F4">
        <v>1</v>
      </c>
      <c r="G4">
        <v>1</v>
      </c>
      <c r="H4">
        <f>SUM(B4:G4)</f>
        <v>21</v>
      </c>
    </row>
    <row r="5" spans="1:8" x14ac:dyDescent="0.3">
      <c r="A5" t="s">
        <v>70</v>
      </c>
      <c r="B5">
        <f>SUM(B2:B4)</f>
        <v>83</v>
      </c>
      <c r="C5">
        <f t="shared" ref="C5:H5" si="0">SUM(C2:C4)</f>
        <v>5</v>
      </c>
      <c r="D5">
        <f t="shared" si="0"/>
        <v>58</v>
      </c>
      <c r="E5">
        <f t="shared" si="0"/>
        <v>3</v>
      </c>
      <c r="F5">
        <f t="shared" si="0"/>
        <v>5</v>
      </c>
      <c r="G5">
        <f t="shared" si="0"/>
        <v>4</v>
      </c>
      <c r="H5">
        <f t="shared" si="0"/>
        <v>158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ACB2-5052-49DA-B244-5B857BD95811}">
  <dimension ref="A1:I6"/>
  <sheetViews>
    <sheetView zoomScale="115" workbookViewId="0">
      <selection activeCell="I8" sqref="I8"/>
    </sheetView>
  </sheetViews>
  <sheetFormatPr defaultRowHeight="14" x14ac:dyDescent="0.3"/>
  <cols>
    <col min="3" max="3" width="7.4140625" customWidth="1"/>
    <col min="4" max="4" width="9.6640625" customWidth="1"/>
    <col min="5" max="5" width="21.25" customWidth="1"/>
    <col min="6" max="6" width="18.33203125" customWidth="1"/>
    <col min="7" max="7" width="17.9140625" customWidth="1"/>
  </cols>
  <sheetData>
    <row r="1" spans="1:9" x14ac:dyDescent="0.3"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I1" t="s">
        <v>67</v>
      </c>
    </row>
    <row r="2" spans="1:9" x14ac:dyDescent="0.3">
      <c r="A2" t="s">
        <v>0</v>
      </c>
      <c r="B2" s="1">
        <v>4</v>
      </c>
      <c r="C2">
        <v>1</v>
      </c>
      <c r="D2" s="19">
        <v>5</v>
      </c>
      <c r="E2" s="19">
        <v>2</v>
      </c>
      <c r="F2" s="19">
        <v>2</v>
      </c>
      <c r="G2" s="19">
        <v>1</v>
      </c>
      <c r="I2">
        <v>14</v>
      </c>
    </row>
    <row r="3" spans="1:9" x14ac:dyDescent="0.3">
      <c r="A3" t="s">
        <v>1</v>
      </c>
      <c r="B3" s="1">
        <v>6</v>
      </c>
      <c r="C3">
        <v>2</v>
      </c>
      <c r="D3">
        <v>5</v>
      </c>
      <c r="E3">
        <v>1</v>
      </c>
      <c r="F3">
        <v>0</v>
      </c>
      <c r="G3">
        <v>1</v>
      </c>
      <c r="I3">
        <v>11</v>
      </c>
    </row>
    <row r="4" spans="1:9" x14ac:dyDescent="0.3">
      <c r="A4" t="s">
        <v>55</v>
      </c>
      <c r="B4">
        <v>3</v>
      </c>
      <c r="C4">
        <v>0</v>
      </c>
      <c r="D4" s="1">
        <v>2</v>
      </c>
      <c r="E4">
        <v>0</v>
      </c>
      <c r="F4">
        <v>1</v>
      </c>
      <c r="G4">
        <v>1</v>
      </c>
      <c r="I4">
        <v>9</v>
      </c>
    </row>
    <row r="5" spans="1:9" x14ac:dyDescent="0.3">
      <c r="A5" t="s">
        <v>70</v>
      </c>
      <c r="B5">
        <f>SUM(B2:B4)</f>
        <v>13</v>
      </c>
      <c r="C5">
        <f t="shared" ref="C5:G5" si="0">SUM(C2:C4)</f>
        <v>3</v>
      </c>
      <c r="D5">
        <f t="shared" si="0"/>
        <v>12</v>
      </c>
      <c r="E5">
        <f t="shared" si="0"/>
        <v>3</v>
      </c>
      <c r="F5">
        <f t="shared" si="0"/>
        <v>3</v>
      </c>
      <c r="G5">
        <f t="shared" si="0"/>
        <v>3</v>
      </c>
      <c r="I5">
        <f t="shared" ref="I5" si="1">SUM(I2:I4)</f>
        <v>34</v>
      </c>
    </row>
    <row r="6" spans="1:9" x14ac:dyDescent="0.3">
      <c r="A6" t="s">
        <v>71</v>
      </c>
      <c r="B6">
        <f>B5/I5</f>
        <v>0.38235294117647056</v>
      </c>
      <c r="C6">
        <f>C5/I5</f>
        <v>8.8235294117647065E-2</v>
      </c>
      <c r="D6">
        <f>D5/I5</f>
        <v>0.35294117647058826</v>
      </c>
      <c r="E6">
        <f>E5/I5</f>
        <v>8.8235294117647065E-2</v>
      </c>
      <c r="F6">
        <f>F5/I5</f>
        <v>8.8235294117647065E-2</v>
      </c>
      <c r="G6">
        <f>G5/I5</f>
        <v>8.8235294117647065E-2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F8DD7-5BA2-4B29-AF3A-BC8EA75E6397}">
  <dimension ref="A1:Y8"/>
  <sheetViews>
    <sheetView workbookViewId="0">
      <selection activeCell="A8" sqref="A8"/>
    </sheetView>
  </sheetViews>
  <sheetFormatPr defaultRowHeight="14" x14ac:dyDescent="0.3"/>
  <cols>
    <col min="1" max="1" width="11.9140625" customWidth="1"/>
    <col min="2" max="4" width="6.6640625" customWidth="1"/>
    <col min="5" max="6" width="11.58203125" customWidth="1"/>
    <col min="7" max="8" width="11.9140625" customWidth="1"/>
    <col min="9" max="9" width="13" customWidth="1"/>
    <col min="10" max="11" width="7.9140625" customWidth="1"/>
    <col min="12" max="14" width="5.25" customWidth="1"/>
    <col min="15" max="15" width="12.33203125" customWidth="1"/>
    <col min="16" max="18" width="7.1640625" customWidth="1"/>
    <col min="20" max="20" width="11.5" customWidth="1"/>
    <col min="21" max="22" width="9.75" customWidth="1"/>
    <col min="23" max="23" width="15.5" customWidth="1"/>
  </cols>
  <sheetData>
    <row r="1" spans="1:25" x14ac:dyDescent="0.3">
      <c r="A1" s="28" t="s">
        <v>39</v>
      </c>
      <c r="B1" s="33" t="s">
        <v>22</v>
      </c>
      <c r="C1" s="34"/>
      <c r="D1" s="34"/>
      <c r="E1" s="34"/>
      <c r="F1" s="34"/>
      <c r="G1" s="34"/>
      <c r="H1" s="35"/>
      <c r="I1" s="33" t="s">
        <v>23</v>
      </c>
      <c r="J1" s="34"/>
      <c r="K1" s="34"/>
      <c r="L1" s="34"/>
      <c r="M1" s="34"/>
      <c r="N1" s="34"/>
      <c r="O1" s="34"/>
      <c r="P1" s="34"/>
      <c r="Q1" s="34"/>
      <c r="R1" s="34"/>
      <c r="S1" s="35"/>
      <c r="T1" s="33" t="s">
        <v>24</v>
      </c>
      <c r="U1" s="34"/>
      <c r="V1" s="34"/>
      <c r="W1" s="34"/>
      <c r="X1" s="35"/>
      <c r="Y1" s="25" t="s">
        <v>21</v>
      </c>
    </row>
    <row r="2" spans="1:25" ht="30" customHeight="1" x14ac:dyDescent="0.3">
      <c r="A2" s="29"/>
      <c r="B2" s="36" t="s">
        <v>25</v>
      </c>
      <c r="C2" s="37"/>
      <c r="D2" s="37"/>
      <c r="E2" s="37" t="s">
        <v>26</v>
      </c>
      <c r="F2" s="34"/>
      <c r="G2" s="9" t="s">
        <v>31</v>
      </c>
      <c r="H2" s="10" t="s">
        <v>34</v>
      </c>
      <c r="I2" s="11" t="s">
        <v>27</v>
      </c>
      <c r="J2" s="37" t="s">
        <v>28</v>
      </c>
      <c r="K2" s="34"/>
      <c r="L2" s="37" t="s">
        <v>29</v>
      </c>
      <c r="M2" s="34"/>
      <c r="N2" s="34"/>
      <c r="O2" s="9" t="s">
        <v>30</v>
      </c>
      <c r="P2" s="37" t="s">
        <v>32</v>
      </c>
      <c r="Q2" s="34"/>
      <c r="R2" s="20" t="s">
        <v>33</v>
      </c>
      <c r="S2" s="10" t="s">
        <v>58</v>
      </c>
      <c r="T2" s="11" t="s">
        <v>35</v>
      </c>
      <c r="U2" s="31" t="s">
        <v>36</v>
      </c>
      <c r="V2" s="32"/>
      <c r="W2" s="12" t="s">
        <v>37</v>
      </c>
      <c r="X2" s="10" t="s">
        <v>38</v>
      </c>
      <c r="Y2" s="26"/>
    </row>
    <row r="3" spans="1:25" x14ac:dyDescent="0.3">
      <c r="A3" s="30"/>
      <c r="B3" s="14" t="s">
        <v>7</v>
      </c>
      <c r="C3" s="13" t="s">
        <v>8</v>
      </c>
      <c r="D3" s="13" t="s">
        <v>9</v>
      </c>
      <c r="E3" s="13" t="s">
        <v>10</v>
      </c>
      <c r="F3" s="13" t="s">
        <v>11</v>
      </c>
      <c r="G3" s="13">
        <v>1.3</v>
      </c>
      <c r="H3" s="15">
        <v>1.4</v>
      </c>
      <c r="I3" s="14">
        <v>2.1</v>
      </c>
      <c r="J3" s="13" t="s">
        <v>12</v>
      </c>
      <c r="K3" s="13" t="s">
        <v>13</v>
      </c>
      <c r="L3" s="13" t="s">
        <v>14</v>
      </c>
      <c r="M3" s="13" t="s">
        <v>15</v>
      </c>
      <c r="N3" s="13" t="s">
        <v>16</v>
      </c>
      <c r="O3" s="13">
        <v>2.4</v>
      </c>
      <c r="P3" s="13" t="s">
        <v>17</v>
      </c>
      <c r="Q3" s="13" t="s">
        <v>18</v>
      </c>
      <c r="R3" s="13">
        <v>2.6</v>
      </c>
      <c r="S3" s="15">
        <v>2.7</v>
      </c>
      <c r="T3" s="14">
        <v>3.1</v>
      </c>
      <c r="U3" s="13" t="s">
        <v>19</v>
      </c>
      <c r="V3" s="13" t="s">
        <v>20</v>
      </c>
      <c r="W3" s="13">
        <v>3.3</v>
      </c>
      <c r="X3" s="15">
        <v>3.4</v>
      </c>
      <c r="Y3" s="27"/>
    </row>
    <row r="4" spans="1:25" x14ac:dyDescent="0.3">
      <c r="A4" s="3" t="s">
        <v>0</v>
      </c>
      <c r="B4" s="17">
        <v>3</v>
      </c>
      <c r="C4" s="16">
        <v>4</v>
      </c>
      <c r="D4" s="16">
        <v>8</v>
      </c>
      <c r="E4" s="3">
        <v>2</v>
      </c>
      <c r="F4" s="3">
        <v>2</v>
      </c>
      <c r="G4" s="3">
        <v>4</v>
      </c>
      <c r="H4" s="5">
        <v>1</v>
      </c>
      <c r="I4" s="2">
        <v>2</v>
      </c>
      <c r="J4" s="3">
        <v>4</v>
      </c>
      <c r="K4" s="3">
        <v>0</v>
      </c>
      <c r="L4" s="3">
        <v>0</v>
      </c>
      <c r="M4" s="3">
        <v>3</v>
      </c>
      <c r="N4" s="3">
        <v>6</v>
      </c>
      <c r="O4" s="3">
        <v>8</v>
      </c>
      <c r="P4" s="3">
        <v>1</v>
      </c>
      <c r="Q4" s="3">
        <v>1</v>
      </c>
      <c r="R4" s="22">
        <v>0</v>
      </c>
      <c r="S4" s="4">
        <v>0</v>
      </c>
      <c r="T4" s="2">
        <v>2</v>
      </c>
      <c r="U4" s="21">
        <v>10</v>
      </c>
      <c r="V4" s="21">
        <v>4</v>
      </c>
      <c r="W4" s="3">
        <v>1</v>
      </c>
      <c r="X4" s="4">
        <v>3</v>
      </c>
      <c r="Y4" s="6">
        <f>SUM(B4:X4)</f>
        <v>69</v>
      </c>
    </row>
    <row r="5" spans="1:25" x14ac:dyDescent="0.3">
      <c r="A5" s="4" t="s">
        <v>1</v>
      </c>
      <c r="B5" s="3">
        <v>1</v>
      </c>
      <c r="C5" s="3">
        <v>1</v>
      </c>
      <c r="D5" s="3">
        <v>0</v>
      </c>
      <c r="E5" s="3">
        <v>0</v>
      </c>
      <c r="F5" s="3">
        <v>0</v>
      </c>
      <c r="G5" s="3">
        <v>4</v>
      </c>
      <c r="H5" s="4">
        <v>5</v>
      </c>
      <c r="I5" s="3">
        <v>0</v>
      </c>
      <c r="J5" s="3">
        <v>2</v>
      </c>
      <c r="K5" s="3">
        <v>5</v>
      </c>
      <c r="L5" s="3">
        <v>0</v>
      </c>
      <c r="M5" s="3">
        <v>0</v>
      </c>
      <c r="N5" s="3">
        <v>5</v>
      </c>
      <c r="O5" s="3">
        <v>2</v>
      </c>
      <c r="P5" s="3">
        <v>0</v>
      </c>
      <c r="Q5" s="3">
        <v>0</v>
      </c>
      <c r="R5" s="22">
        <v>15</v>
      </c>
      <c r="S5" s="4">
        <v>5</v>
      </c>
      <c r="T5" s="3">
        <v>2</v>
      </c>
      <c r="U5" s="16">
        <v>7</v>
      </c>
      <c r="V5" s="16">
        <v>10</v>
      </c>
      <c r="W5" s="3">
        <v>2</v>
      </c>
      <c r="X5" s="4">
        <v>2</v>
      </c>
      <c r="Y5" s="6">
        <f>SUM(B5:X5)</f>
        <v>68</v>
      </c>
    </row>
    <row r="6" spans="1:25" ht="14.5" thickBot="1" x14ac:dyDescent="0.35">
      <c r="A6" s="8" t="s">
        <v>55</v>
      </c>
      <c r="B6" s="7">
        <v>0</v>
      </c>
      <c r="C6" s="7">
        <v>0</v>
      </c>
      <c r="D6" s="7">
        <v>2</v>
      </c>
      <c r="E6" s="7">
        <v>0</v>
      </c>
      <c r="F6" s="7">
        <v>0</v>
      </c>
      <c r="G6" s="7">
        <v>0</v>
      </c>
      <c r="H6" s="8">
        <v>0</v>
      </c>
      <c r="I6" s="7">
        <v>0</v>
      </c>
      <c r="J6" s="7">
        <v>3</v>
      </c>
      <c r="K6" s="7">
        <v>0</v>
      </c>
      <c r="L6" s="7">
        <v>0</v>
      </c>
      <c r="M6" s="7">
        <v>0</v>
      </c>
      <c r="N6" s="7">
        <v>0</v>
      </c>
      <c r="O6" s="7">
        <v>5</v>
      </c>
      <c r="P6" s="7">
        <v>1</v>
      </c>
      <c r="Q6" s="7">
        <v>0</v>
      </c>
      <c r="R6" s="7">
        <v>0</v>
      </c>
      <c r="S6" s="8">
        <v>0</v>
      </c>
      <c r="T6" s="7">
        <v>0</v>
      </c>
      <c r="U6" s="18">
        <v>2</v>
      </c>
      <c r="V6" s="18">
        <v>7</v>
      </c>
      <c r="W6" s="7">
        <v>1</v>
      </c>
      <c r="X6" s="8">
        <v>0</v>
      </c>
      <c r="Y6" s="8">
        <f>SUM(B6:X6)</f>
        <v>21</v>
      </c>
    </row>
    <row r="7" spans="1:25" x14ac:dyDescent="0.3">
      <c r="A7" s="5" t="s">
        <v>70</v>
      </c>
      <c r="B7">
        <f>SUM(B4:B6)</f>
        <v>4</v>
      </c>
      <c r="C7">
        <f t="shared" ref="C7:H7" si="0">SUM(C4:C6)</f>
        <v>5</v>
      </c>
      <c r="D7">
        <f t="shared" si="0"/>
        <v>10</v>
      </c>
      <c r="E7">
        <f t="shared" si="0"/>
        <v>2</v>
      </c>
      <c r="F7">
        <f t="shared" si="0"/>
        <v>2</v>
      </c>
      <c r="G7">
        <f t="shared" si="0"/>
        <v>8</v>
      </c>
      <c r="H7">
        <f t="shared" si="0"/>
        <v>6</v>
      </c>
      <c r="I7">
        <f t="shared" ref="I7" si="1">SUM(I4:I6)</f>
        <v>2</v>
      </c>
      <c r="J7">
        <f t="shared" ref="J7" si="2">SUM(J4:J6)</f>
        <v>9</v>
      </c>
      <c r="K7">
        <f t="shared" ref="K7" si="3">SUM(K4:K6)</f>
        <v>5</v>
      </c>
      <c r="L7">
        <f t="shared" ref="L7" si="4">SUM(L4:L6)</f>
        <v>0</v>
      </c>
      <c r="M7">
        <f t="shared" ref="M7" si="5">SUM(M4:M6)</f>
        <v>3</v>
      </c>
      <c r="N7">
        <f t="shared" ref="N7" si="6">SUM(N4:N6)</f>
        <v>11</v>
      </c>
      <c r="O7">
        <f t="shared" ref="O7" si="7">SUM(O4:O6)</f>
        <v>15</v>
      </c>
      <c r="P7">
        <f t="shared" ref="P7" si="8">SUM(P4:P6)</f>
        <v>2</v>
      </c>
      <c r="Q7">
        <f t="shared" ref="Q7" si="9">SUM(Q4:Q6)</f>
        <v>1</v>
      </c>
      <c r="R7">
        <f t="shared" ref="R7" si="10">SUM(R4:R6)</f>
        <v>15</v>
      </c>
      <c r="S7">
        <f t="shared" ref="S7" si="11">SUM(S4:S6)</f>
        <v>5</v>
      </c>
      <c r="T7">
        <f t="shared" ref="T7" si="12">SUM(T4:T6)</f>
        <v>4</v>
      </c>
      <c r="U7">
        <f t="shared" ref="U7" si="13">SUM(U4:U6)</f>
        <v>19</v>
      </c>
      <c r="V7">
        <f t="shared" ref="V7" si="14">SUM(V4:V6)</f>
        <v>21</v>
      </c>
      <c r="W7">
        <f t="shared" ref="W7" si="15">SUM(W4:W6)</f>
        <v>4</v>
      </c>
      <c r="X7">
        <f t="shared" ref="X7" si="16">SUM(X4:X6)</f>
        <v>5</v>
      </c>
    </row>
    <row r="8" spans="1:25" x14ac:dyDescent="0.3">
      <c r="A8" s="5"/>
      <c r="B8">
        <f>SUM(B7:H7)</f>
        <v>37</v>
      </c>
      <c r="I8">
        <f>SUM(I7:S7)</f>
        <v>68</v>
      </c>
      <c r="T8">
        <f>SUM(T7:X7)</f>
        <v>53</v>
      </c>
    </row>
  </sheetData>
  <mergeCells count="11">
    <mergeCell ref="Y1:Y3"/>
    <mergeCell ref="A1:A3"/>
    <mergeCell ref="U2:V2"/>
    <mergeCell ref="I1:S1"/>
    <mergeCell ref="B1:H1"/>
    <mergeCell ref="B2:D2"/>
    <mergeCell ref="T1:X1"/>
    <mergeCell ref="E2:F2"/>
    <mergeCell ref="J2:K2"/>
    <mergeCell ref="L2:N2"/>
    <mergeCell ref="P2:Q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33D7-AD67-4780-A4DC-A7975F6D78E5}">
  <dimension ref="A1:Z9"/>
  <sheetViews>
    <sheetView workbookViewId="0">
      <selection activeCell="A7" sqref="A7:A8"/>
    </sheetView>
  </sheetViews>
  <sheetFormatPr defaultRowHeight="14" x14ac:dyDescent="0.3"/>
  <cols>
    <col min="1" max="1" width="11.9140625" customWidth="1"/>
    <col min="2" max="4" width="6.6640625" customWidth="1"/>
    <col min="5" max="6" width="11.58203125" customWidth="1"/>
    <col min="7" max="8" width="11.9140625" customWidth="1"/>
    <col min="9" max="9" width="13" customWidth="1"/>
    <col min="10" max="11" width="7.9140625" customWidth="1"/>
    <col min="12" max="14" width="5.25" customWidth="1"/>
    <col min="15" max="15" width="12.33203125" customWidth="1"/>
    <col min="16" max="18" width="7.1640625" customWidth="1"/>
    <col min="20" max="20" width="11.5" customWidth="1"/>
    <col min="21" max="22" width="9.75" customWidth="1"/>
    <col min="23" max="23" width="15.5" customWidth="1"/>
  </cols>
  <sheetData>
    <row r="1" spans="1:26" x14ac:dyDescent="0.3">
      <c r="A1" s="28" t="s">
        <v>39</v>
      </c>
      <c r="B1" s="33" t="s">
        <v>22</v>
      </c>
      <c r="C1" s="34"/>
      <c r="D1" s="34"/>
      <c r="E1" s="34"/>
      <c r="F1" s="34"/>
      <c r="G1" s="34"/>
      <c r="H1" s="35"/>
      <c r="I1" s="33" t="s">
        <v>23</v>
      </c>
      <c r="J1" s="34"/>
      <c r="K1" s="34"/>
      <c r="L1" s="34"/>
      <c r="M1" s="34"/>
      <c r="N1" s="34"/>
      <c r="O1" s="34"/>
      <c r="P1" s="34"/>
      <c r="Q1" s="34"/>
      <c r="R1" s="34"/>
      <c r="S1" s="35"/>
      <c r="T1" s="33" t="s">
        <v>24</v>
      </c>
      <c r="U1" s="34"/>
      <c r="V1" s="34"/>
      <c r="W1" s="34"/>
      <c r="X1" s="35"/>
      <c r="Y1" s="25" t="s">
        <v>21</v>
      </c>
    </row>
    <row r="2" spans="1:26" ht="30" customHeight="1" x14ac:dyDescent="0.3">
      <c r="A2" s="29"/>
      <c r="B2" s="36" t="s">
        <v>25</v>
      </c>
      <c r="C2" s="37"/>
      <c r="D2" s="37"/>
      <c r="E2" s="37" t="s">
        <v>26</v>
      </c>
      <c r="F2" s="34"/>
      <c r="G2" s="24" t="s">
        <v>31</v>
      </c>
      <c r="H2" s="10" t="s">
        <v>34</v>
      </c>
      <c r="I2" s="23" t="s">
        <v>27</v>
      </c>
      <c r="J2" s="37" t="s">
        <v>28</v>
      </c>
      <c r="K2" s="34"/>
      <c r="L2" s="37" t="s">
        <v>29</v>
      </c>
      <c r="M2" s="34"/>
      <c r="N2" s="34"/>
      <c r="O2" s="24" t="s">
        <v>30</v>
      </c>
      <c r="P2" s="37" t="s">
        <v>32</v>
      </c>
      <c r="Q2" s="34"/>
      <c r="R2" s="24" t="s">
        <v>33</v>
      </c>
      <c r="S2" s="10" t="s">
        <v>58</v>
      </c>
      <c r="T2" s="23" t="s">
        <v>35</v>
      </c>
      <c r="U2" s="31" t="s">
        <v>69</v>
      </c>
      <c r="V2" s="32"/>
      <c r="W2" s="12" t="s">
        <v>37</v>
      </c>
      <c r="X2" s="10" t="s">
        <v>38</v>
      </c>
      <c r="Y2" s="26"/>
    </row>
    <row r="3" spans="1:26" x14ac:dyDescent="0.3">
      <c r="A3" s="30"/>
      <c r="B3" s="14" t="s">
        <v>7</v>
      </c>
      <c r="C3" s="13" t="s">
        <v>8</v>
      </c>
      <c r="D3" s="13" t="s">
        <v>9</v>
      </c>
      <c r="E3" s="13" t="s">
        <v>10</v>
      </c>
      <c r="F3" s="13" t="s">
        <v>11</v>
      </c>
      <c r="G3" s="13">
        <v>1.3</v>
      </c>
      <c r="H3" s="15">
        <v>1.4</v>
      </c>
      <c r="I3" s="14">
        <v>2.1</v>
      </c>
      <c r="J3" s="13" t="s">
        <v>12</v>
      </c>
      <c r="K3" s="13" t="s">
        <v>13</v>
      </c>
      <c r="L3" s="13" t="s">
        <v>14</v>
      </c>
      <c r="M3" s="13" t="s">
        <v>15</v>
      </c>
      <c r="N3" s="13" t="s">
        <v>16</v>
      </c>
      <c r="O3" s="13">
        <v>2.4</v>
      </c>
      <c r="P3" s="13" t="s">
        <v>17</v>
      </c>
      <c r="Q3" s="13" t="s">
        <v>18</v>
      </c>
      <c r="R3" s="13">
        <v>2.6</v>
      </c>
      <c r="S3" s="15">
        <v>2.7</v>
      </c>
      <c r="T3" s="14">
        <v>3.1</v>
      </c>
      <c r="U3" s="13" t="s">
        <v>19</v>
      </c>
      <c r="V3" s="13" t="s">
        <v>20</v>
      </c>
      <c r="W3" s="13">
        <v>3.3</v>
      </c>
      <c r="X3" s="15">
        <v>3.4</v>
      </c>
      <c r="Y3" s="27"/>
      <c r="Z3" t="s">
        <v>68</v>
      </c>
    </row>
    <row r="4" spans="1:26" x14ac:dyDescent="0.3">
      <c r="A4" s="3" t="s">
        <v>0</v>
      </c>
      <c r="B4" s="17">
        <v>1</v>
      </c>
      <c r="C4" s="16">
        <v>2</v>
      </c>
      <c r="D4" s="16">
        <v>1</v>
      </c>
      <c r="E4" s="3">
        <v>1</v>
      </c>
      <c r="F4" s="3">
        <v>1</v>
      </c>
      <c r="G4" s="3">
        <v>1</v>
      </c>
      <c r="H4" s="5">
        <v>1</v>
      </c>
      <c r="I4" s="2">
        <v>1</v>
      </c>
      <c r="J4" s="3">
        <v>1</v>
      </c>
      <c r="K4" s="3">
        <v>0</v>
      </c>
      <c r="L4" s="3">
        <v>0</v>
      </c>
      <c r="M4" s="3">
        <v>3</v>
      </c>
      <c r="N4" s="3">
        <v>3</v>
      </c>
      <c r="O4" s="3">
        <v>2</v>
      </c>
      <c r="P4" s="3">
        <v>1</v>
      </c>
      <c r="Q4" s="3">
        <v>1</v>
      </c>
      <c r="R4" s="22">
        <v>0</v>
      </c>
      <c r="S4" s="4">
        <v>0</v>
      </c>
      <c r="T4" s="2">
        <v>2</v>
      </c>
      <c r="U4" s="21">
        <v>2</v>
      </c>
      <c r="V4" s="21">
        <v>3</v>
      </c>
      <c r="W4" s="3">
        <v>1</v>
      </c>
      <c r="X4" s="4">
        <v>3</v>
      </c>
      <c r="Y4" s="6">
        <f>SUM(B4:X4)</f>
        <v>31</v>
      </c>
      <c r="Z4">
        <v>14</v>
      </c>
    </row>
    <row r="5" spans="1:26" x14ac:dyDescent="0.3">
      <c r="A5" s="4" t="s">
        <v>1</v>
      </c>
      <c r="B5" s="3">
        <v>1</v>
      </c>
      <c r="C5" s="3">
        <v>1</v>
      </c>
      <c r="D5" s="3">
        <v>0</v>
      </c>
      <c r="E5" s="3">
        <v>0</v>
      </c>
      <c r="F5" s="3">
        <v>0</v>
      </c>
      <c r="G5" s="3">
        <v>2</v>
      </c>
      <c r="H5" s="4">
        <v>2</v>
      </c>
      <c r="I5" s="3">
        <v>0</v>
      </c>
      <c r="J5" s="3">
        <v>2</v>
      </c>
      <c r="K5" s="3">
        <v>3</v>
      </c>
      <c r="L5" s="3">
        <v>0</v>
      </c>
      <c r="M5" s="3">
        <v>0</v>
      </c>
      <c r="N5" s="3">
        <v>3</v>
      </c>
      <c r="O5" s="3">
        <v>1</v>
      </c>
      <c r="P5" s="3">
        <v>0</v>
      </c>
      <c r="Q5" s="3">
        <v>0</v>
      </c>
      <c r="R5" s="22">
        <v>5</v>
      </c>
      <c r="S5" s="4">
        <v>1</v>
      </c>
      <c r="T5" s="3">
        <v>2</v>
      </c>
      <c r="U5" s="16">
        <v>4</v>
      </c>
      <c r="V5" s="16">
        <v>4</v>
      </c>
      <c r="W5" s="3">
        <v>2</v>
      </c>
      <c r="X5" s="4">
        <v>2</v>
      </c>
      <c r="Y5" s="6">
        <f>SUM(B5:X5)</f>
        <v>35</v>
      </c>
      <c r="Z5">
        <v>11</v>
      </c>
    </row>
    <row r="6" spans="1:26" ht="14.5" thickBot="1" x14ac:dyDescent="0.35">
      <c r="A6" s="8" t="s">
        <v>55</v>
      </c>
      <c r="B6" s="7">
        <v>0</v>
      </c>
      <c r="C6" s="7">
        <v>0</v>
      </c>
      <c r="D6" s="7">
        <v>1</v>
      </c>
      <c r="E6" s="7">
        <v>0</v>
      </c>
      <c r="F6" s="7">
        <v>0</v>
      </c>
      <c r="G6" s="7">
        <v>0</v>
      </c>
      <c r="H6" s="8">
        <v>0</v>
      </c>
      <c r="I6" s="7">
        <v>0</v>
      </c>
      <c r="J6" s="7">
        <v>2</v>
      </c>
      <c r="K6" s="7">
        <v>0</v>
      </c>
      <c r="L6" s="7">
        <v>0</v>
      </c>
      <c r="M6" s="7">
        <v>0</v>
      </c>
      <c r="N6" s="7">
        <v>0</v>
      </c>
      <c r="O6" s="7">
        <v>1</v>
      </c>
      <c r="P6" s="7">
        <v>1</v>
      </c>
      <c r="Q6" s="7">
        <v>0</v>
      </c>
      <c r="R6" s="7">
        <v>0</v>
      </c>
      <c r="S6" s="8">
        <v>0</v>
      </c>
      <c r="T6" s="7">
        <v>0</v>
      </c>
      <c r="U6" s="18">
        <v>1</v>
      </c>
      <c r="V6" s="18">
        <v>3</v>
      </c>
      <c r="W6" s="7">
        <v>1</v>
      </c>
      <c r="X6" s="8">
        <v>0</v>
      </c>
      <c r="Y6" s="8">
        <f>SUM(B6:X6)</f>
        <v>10</v>
      </c>
      <c r="Z6">
        <v>9</v>
      </c>
    </row>
    <row r="7" spans="1:26" x14ac:dyDescent="0.3">
      <c r="A7" s="5" t="s">
        <v>70</v>
      </c>
      <c r="B7">
        <f>SUM(B4:B6)</f>
        <v>2</v>
      </c>
      <c r="C7">
        <f t="shared" ref="C7:X7" si="0">SUM(C4:C6)</f>
        <v>3</v>
      </c>
      <c r="D7">
        <f t="shared" si="0"/>
        <v>2</v>
      </c>
      <c r="E7">
        <f t="shared" si="0"/>
        <v>1</v>
      </c>
      <c r="F7">
        <f t="shared" si="0"/>
        <v>1</v>
      </c>
      <c r="G7">
        <f t="shared" si="0"/>
        <v>3</v>
      </c>
      <c r="H7">
        <f t="shared" si="0"/>
        <v>3</v>
      </c>
      <c r="I7">
        <f t="shared" si="0"/>
        <v>1</v>
      </c>
      <c r="J7">
        <f t="shared" si="0"/>
        <v>5</v>
      </c>
      <c r="K7">
        <f t="shared" si="0"/>
        <v>3</v>
      </c>
      <c r="L7">
        <f t="shared" si="0"/>
        <v>0</v>
      </c>
      <c r="M7">
        <f t="shared" si="0"/>
        <v>3</v>
      </c>
      <c r="N7">
        <f t="shared" si="0"/>
        <v>6</v>
      </c>
      <c r="O7">
        <f t="shared" si="0"/>
        <v>4</v>
      </c>
      <c r="P7">
        <f t="shared" si="0"/>
        <v>2</v>
      </c>
      <c r="Q7">
        <f t="shared" si="0"/>
        <v>1</v>
      </c>
      <c r="R7">
        <f t="shared" si="0"/>
        <v>5</v>
      </c>
      <c r="S7">
        <f t="shared" si="0"/>
        <v>1</v>
      </c>
      <c r="T7">
        <f t="shared" si="0"/>
        <v>4</v>
      </c>
      <c r="U7">
        <f t="shared" si="0"/>
        <v>7</v>
      </c>
      <c r="V7">
        <f t="shared" si="0"/>
        <v>10</v>
      </c>
      <c r="W7">
        <f t="shared" si="0"/>
        <v>4</v>
      </c>
      <c r="X7">
        <f t="shared" si="0"/>
        <v>5</v>
      </c>
      <c r="Z7">
        <f t="shared" ref="Z7" si="1">SUM(Z4:Z6)</f>
        <v>34</v>
      </c>
    </row>
    <row r="8" spans="1:26" x14ac:dyDescent="0.3">
      <c r="A8" s="5" t="s">
        <v>71</v>
      </c>
      <c r="B8">
        <f>B7/Z7</f>
        <v>5.8823529411764705E-2</v>
      </c>
      <c r="C8">
        <f>C7/Z7</f>
        <v>8.8235294117647065E-2</v>
      </c>
      <c r="D8">
        <f>D7/Z7</f>
        <v>5.8823529411764705E-2</v>
      </c>
      <c r="E8">
        <f>E7/Z7</f>
        <v>2.9411764705882353E-2</v>
      </c>
      <c r="F8">
        <f>F7/Z7</f>
        <v>2.9411764705882353E-2</v>
      </c>
      <c r="G8">
        <f>G7/Z7</f>
        <v>8.8235294117647065E-2</v>
      </c>
      <c r="H8">
        <f>H7/Z7</f>
        <v>8.8235294117647065E-2</v>
      </c>
      <c r="I8">
        <f>I7/Z7</f>
        <v>2.9411764705882353E-2</v>
      </c>
      <c r="J8">
        <f>J7/Z7</f>
        <v>0.14705882352941177</v>
      </c>
      <c r="K8">
        <f>K7/Z7</f>
        <v>8.8235294117647065E-2</v>
      </c>
      <c r="L8">
        <f>L7/Z7</f>
        <v>0</v>
      </c>
      <c r="M8">
        <f>M7/Z7</f>
        <v>8.8235294117647065E-2</v>
      </c>
      <c r="N8">
        <f>N7/Z7</f>
        <v>0.17647058823529413</v>
      </c>
      <c r="O8">
        <f>O7/Z7</f>
        <v>0.11764705882352941</v>
      </c>
      <c r="P8">
        <f>P7/Z7</f>
        <v>5.8823529411764705E-2</v>
      </c>
      <c r="Q8">
        <f>Q7/Z7</f>
        <v>2.9411764705882353E-2</v>
      </c>
      <c r="R8">
        <f>R7/Z7</f>
        <v>0.14705882352941177</v>
      </c>
      <c r="S8">
        <f>S7/Z7</f>
        <v>2.9411764705882353E-2</v>
      </c>
      <c r="T8">
        <f>T7/Z7</f>
        <v>0.11764705882352941</v>
      </c>
      <c r="U8">
        <f>U7/Z7</f>
        <v>0.20588235294117646</v>
      </c>
      <c r="V8">
        <f>V7/Z7</f>
        <v>0.29411764705882354</v>
      </c>
      <c r="W8">
        <f>W7/Z7</f>
        <v>0.11764705882352941</v>
      </c>
      <c r="X8">
        <f>X7/Z7</f>
        <v>0.14705882352941177</v>
      </c>
      <c r="Z8">
        <f>Z7/Z7</f>
        <v>1</v>
      </c>
    </row>
    <row r="9" spans="1:26" x14ac:dyDescent="0.3">
      <c r="B9" s="38">
        <f>SUM(B8:C8)</f>
        <v>0.14705882352941177</v>
      </c>
      <c r="C9" s="38"/>
      <c r="E9" s="38">
        <f>SUM(E8:F8)</f>
        <v>5.8823529411764705E-2</v>
      </c>
      <c r="F9" s="38"/>
      <c r="J9" s="38">
        <f>SUM(J8:K8)</f>
        <v>0.23529411764705882</v>
      </c>
      <c r="K9" s="38"/>
      <c r="L9" s="38">
        <f>SUM(L8:N8)</f>
        <v>0.26470588235294118</v>
      </c>
      <c r="M9" s="38"/>
      <c r="N9" s="38"/>
      <c r="P9" s="38">
        <f>SUM(P8:Q8)</f>
        <v>8.8235294117647051E-2</v>
      </c>
      <c r="Q9" s="38"/>
      <c r="U9" s="38">
        <f>SUM(U8:V8)</f>
        <v>0.5</v>
      </c>
      <c r="V9" s="38"/>
    </row>
  </sheetData>
  <mergeCells count="17">
    <mergeCell ref="U9:V9"/>
    <mergeCell ref="B9:C9"/>
    <mergeCell ref="E9:F9"/>
    <mergeCell ref="J9:K9"/>
    <mergeCell ref="L9:N9"/>
    <mergeCell ref="P9:Q9"/>
    <mergeCell ref="A1:A3"/>
    <mergeCell ref="B1:H1"/>
    <mergeCell ref="I1:S1"/>
    <mergeCell ref="T1:X1"/>
    <mergeCell ref="Y1:Y3"/>
    <mergeCell ref="B2:D2"/>
    <mergeCell ref="E2:F2"/>
    <mergeCell ref="J2:K2"/>
    <mergeCell ref="L2:N2"/>
    <mergeCell ref="P2:Q2"/>
    <mergeCell ref="U2:V2"/>
  </mergeCells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E652-C4F2-4396-A966-ACAEA2A304B2}">
  <dimension ref="A1:J5"/>
  <sheetViews>
    <sheetView zoomScale="74" workbookViewId="0">
      <selection activeCell="J5" sqref="J5"/>
    </sheetView>
  </sheetViews>
  <sheetFormatPr defaultRowHeight="14" x14ac:dyDescent="0.3"/>
  <cols>
    <col min="1" max="1" width="9.83203125" customWidth="1"/>
    <col min="2" max="2" width="13.08203125" customWidth="1"/>
    <col min="3" max="3" width="23" customWidth="1"/>
    <col min="4" max="4" width="11.33203125" customWidth="1"/>
    <col min="5" max="5" width="21.9140625" customWidth="1"/>
    <col min="6" max="6" width="18.25" customWidth="1"/>
    <col min="7" max="7" width="19" customWidth="1"/>
    <col min="8" max="8" width="25" customWidth="1"/>
    <col min="9" max="9" width="7.1640625" customWidth="1"/>
  </cols>
  <sheetData>
    <row r="1" spans="1:10" x14ac:dyDescent="0.3"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21</v>
      </c>
    </row>
    <row r="2" spans="1:10" x14ac:dyDescent="0.3">
      <c r="A2" t="s">
        <v>0</v>
      </c>
      <c r="B2">
        <v>1</v>
      </c>
      <c r="C2" s="1">
        <v>24</v>
      </c>
      <c r="D2" s="19">
        <v>22</v>
      </c>
      <c r="E2">
        <v>3</v>
      </c>
      <c r="F2">
        <v>11</v>
      </c>
      <c r="G2">
        <v>2</v>
      </c>
      <c r="H2">
        <v>1</v>
      </c>
      <c r="I2">
        <v>5</v>
      </c>
      <c r="J2">
        <f>SUM(B2:I2)</f>
        <v>69</v>
      </c>
    </row>
    <row r="3" spans="1:10" x14ac:dyDescent="0.3">
      <c r="A3" t="s">
        <v>1</v>
      </c>
      <c r="B3" s="19">
        <v>0</v>
      </c>
      <c r="C3">
        <v>13</v>
      </c>
      <c r="D3">
        <v>10</v>
      </c>
      <c r="E3">
        <v>5</v>
      </c>
      <c r="F3" s="1">
        <v>27</v>
      </c>
      <c r="G3">
        <v>0</v>
      </c>
      <c r="H3">
        <v>1</v>
      </c>
      <c r="I3">
        <v>12</v>
      </c>
      <c r="J3">
        <f>SUM(B3:I3)</f>
        <v>68</v>
      </c>
    </row>
    <row r="4" spans="1:10" x14ac:dyDescent="0.3">
      <c r="A4" t="s">
        <v>55</v>
      </c>
      <c r="B4">
        <v>0</v>
      </c>
      <c r="C4">
        <v>3</v>
      </c>
      <c r="D4">
        <v>1</v>
      </c>
      <c r="E4" s="1">
        <v>9</v>
      </c>
      <c r="F4">
        <v>0</v>
      </c>
      <c r="G4">
        <v>0</v>
      </c>
      <c r="H4">
        <v>0</v>
      </c>
      <c r="I4">
        <v>8</v>
      </c>
      <c r="J4">
        <f>SUM(B4:I4)</f>
        <v>21</v>
      </c>
    </row>
    <row r="5" spans="1:10" x14ac:dyDescent="0.3">
      <c r="A5" t="s">
        <v>70</v>
      </c>
      <c r="B5">
        <f>SUM(B2:B4)</f>
        <v>1</v>
      </c>
      <c r="C5">
        <f t="shared" ref="C5:I5" si="0">SUM(C2:C4)</f>
        <v>40</v>
      </c>
      <c r="D5">
        <f t="shared" si="0"/>
        <v>33</v>
      </c>
      <c r="E5">
        <f t="shared" si="0"/>
        <v>17</v>
      </c>
      <c r="F5">
        <f t="shared" si="0"/>
        <v>38</v>
      </c>
      <c r="G5">
        <f t="shared" si="0"/>
        <v>2</v>
      </c>
      <c r="H5">
        <f t="shared" si="0"/>
        <v>2</v>
      </c>
      <c r="I5">
        <f t="shared" si="0"/>
        <v>25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9BC1-9A03-4F2D-B066-E2E030D5B5DC}">
  <dimension ref="A1:K7"/>
  <sheetViews>
    <sheetView tabSelected="1" workbookViewId="0">
      <selection activeCell="E23" sqref="E23"/>
    </sheetView>
  </sheetViews>
  <sheetFormatPr defaultRowHeight="14" x14ac:dyDescent="0.3"/>
  <cols>
    <col min="1" max="1" width="9.83203125" customWidth="1"/>
    <col min="2" max="2" width="13.08203125" customWidth="1"/>
    <col min="3" max="3" width="23" customWidth="1"/>
    <col min="4" max="4" width="11.33203125" customWidth="1"/>
    <col min="5" max="5" width="21.9140625" customWidth="1"/>
    <col min="6" max="6" width="18.25" customWidth="1"/>
    <col min="7" max="7" width="19" customWidth="1"/>
    <col min="8" max="8" width="25" customWidth="1"/>
    <col min="9" max="9" width="7.1640625" customWidth="1"/>
  </cols>
  <sheetData>
    <row r="1" spans="1:11" x14ac:dyDescent="0.3"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21</v>
      </c>
      <c r="K1" t="s">
        <v>68</v>
      </c>
    </row>
    <row r="2" spans="1:11" x14ac:dyDescent="0.3">
      <c r="A2" t="s">
        <v>0</v>
      </c>
      <c r="B2">
        <v>1</v>
      </c>
      <c r="C2" s="1">
        <v>4</v>
      </c>
      <c r="D2" s="19">
        <v>5</v>
      </c>
      <c r="E2">
        <v>1</v>
      </c>
      <c r="F2">
        <v>2</v>
      </c>
      <c r="G2">
        <v>2</v>
      </c>
      <c r="H2">
        <v>1</v>
      </c>
      <c r="I2">
        <v>3</v>
      </c>
      <c r="J2">
        <f>SUM(B2:I2)</f>
        <v>19</v>
      </c>
      <c r="K2">
        <v>14</v>
      </c>
    </row>
    <row r="3" spans="1:11" x14ac:dyDescent="0.3">
      <c r="A3" t="s">
        <v>1</v>
      </c>
      <c r="B3" s="19">
        <v>0</v>
      </c>
      <c r="C3">
        <v>3</v>
      </c>
      <c r="D3">
        <v>4</v>
      </c>
      <c r="E3">
        <v>2</v>
      </c>
      <c r="F3" s="1">
        <v>4</v>
      </c>
      <c r="G3">
        <v>0</v>
      </c>
      <c r="H3">
        <v>1</v>
      </c>
      <c r="I3">
        <v>4</v>
      </c>
      <c r="J3">
        <f>SUM(B3:I3)</f>
        <v>18</v>
      </c>
      <c r="K3">
        <v>11</v>
      </c>
    </row>
    <row r="4" spans="1:11" x14ac:dyDescent="0.3">
      <c r="A4" t="s">
        <v>55</v>
      </c>
      <c r="B4">
        <v>0</v>
      </c>
      <c r="C4">
        <v>2</v>
      </c>
      <c r="D4">
        <v>1</v>
      </c>
      <c r="E4" s="1">
        <v>1</v>
      </c>
      <c r="F4">
        <v>0</v>
      </c>
      <c r="G4">
        <v>0</v>
      </c>
      <c r="H4">
        <v>0</v>
      </c>
      <c r="I4">
        <v>3</v>
      </c>
      <c r="J4">
        <f>SUM(B4:I4)</f>
        <v>7</v>
      </c>
      <c r="K4">
        <v>9</v>
      </c>
    </row>
    <row r="5" spans="1:11" x14ac:dyDescent="0.3">
      <c r="A5" t="s">
        <v>70</v>
      </c>
      <c r="B5">
        <f>SUM(B2:B4)</f>
        <v>1</v>
      </c>
      <c r="C5">
        <f t="shared" ref="C5:I5" si="0">SUM(C2:C4)</f>
        <v>9</v>
      </c>
      <c r="D5">
        <f t="shared" si="0"/>
        <v>10</v>
      </c>
      <c r="E5">
        <f t="shared" si="0"/>
        <v>4</v>
      </c>
      <c r="F5">
        <f t="shared" si="0"/>
        <v>6</v>
      </c>
      <c r="G5">
        <f t="shared" si="0"/>
        <v>2</v>
      </c>
      <c r="H5">
        <f t="shared" si="0"/>
        <v>2</v>
      </c>
      <c r="I5">
        <f t="shared" si="0"/>
        <v>10</v>
      </c>
      <c r="K5">
        <f>SUM(K2:K4)</f>
        <v>34</v>
      </c>
    </row>
    <row r="6" spans="1:11" x14ac:dyDescent="0.3">
      <c r="A6" t="s">
        <v>71</v>
      </c>
      <c r="B6">
        <f>B5/K5</f>
        <v>2.9411764705882353E-2</v>
      </c>
      <c r="C6">
        <f>C5/K5</f>
        <v>0.26470588235294118</v>
      </c>
      <c r="D6">
        <f>D5/K5</f>
        <v>0.29411764705882354</v>
      </c>
      <c r="E6">
        <f>E5/K5</f>
        <v>0.11764705882352941</v>
      </c>
      <c r="F6">
        <f>F5/K5</f>
        <v>0.17647058823529413</v>
      </c>
      <c r="G6">
        <f>G5/K5</f>
        <v>5.8823529411764705E-2</v>
      </c>
      <c r="H6">
        <f>H5/K5</f>
        <v>5.8823529411764705E-2</v>
      </c>
      <c r="I6">
        <f>I5/K5</f>
        <v>0.29411764705882354</v>
      </c>
    </row>
    <row r="7" spans="1:11" x14ac:dyDescent="0.3">
      <c r="H7" s="38">
        <f>SUM(H6:I6)</f>
        <v>0.35294117647058826</v>
      </c>
      <c r="I7" s="38"/>
    </row>
  </sheetData>
  <mergeCells count="1">
    <mergeCell ref="H7:I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data selection</vt:lpstr>
      <vt:lpstr>issue types</vt:lpstr>
      <vt:lpstr>symptom(total)</vt:lpstr>
      <vt:lpstr>symptom(agent num)</vt:lpstr>
      <vt:lpstr>location</vt:lpstr>
      <vt:lpstr>location(agent num)</vt:lpstr>
      <vt:lpstr>root cause</vt:lpstr>
      <vt:lpstr>root cause (agent num)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李苏菀</dc:creator>
  <cp:lastModifiedBy>苏菀 李</cp:lastModifiedBy>
  <dcterms:created xsi:type="dcterms:W3CDTF">2015-06-05T18:19:34Z</dcterms:created>
  <dcterms:modified xsi:type="dcterms:W3CDTF">2026-09-26T10:17:51Z</dcterms:modified>
</cp:coreProperties>
</file>